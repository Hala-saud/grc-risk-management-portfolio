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aA\Downloads\"/>
    </mc:Choice>
  </mc:AlternateContent>
  <xr:revisionPtr revIDLastSave="0" documentId="8_{D7AA678A-5E0E-4CC0-9C12-A7A64585A2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Executive Dashboard" sheetId="2" r:id="rId2"/>
    <sheet name="Asset Inventory" sheetId="3" r:id="rId3"/>
    <sheet name="Risk Register" sheetId="4" r:id="rId4"/>
    <sheet name="Controls" sheetId="5" r:id="rId5"/>
    <sheet name="Gap Assessment" sheetId="6" r:id="rId6"/>
    <sheet name="Risk Treatment Plan" sheetId="7" r:id="rId7"/>
    <sheet name="Evidence Tracker" sheetId="8" r:id="rId8"/>
  </sheets>
  <definedNames>
    <definedName name="_xlnm._FilterDatabase" localSheetId="2" hidden="1">'Asset Inventory'!$A$4:$L$24</definedName>
    <definedName name="_xlnm._FilterDatabase" localSheetId="4" hidden="1">Controls!$A$4:$K$17</definedName>
    <definedName name="_xlnm._FilterDatabase" localSheetId="7" hidden="1">'Evidence Tracker'!$A$4:$J$15</definedName>
    <definedName name="_xlnm._FilterDatabase" localSheetId="5" hidden="1">'Gap Assessment'!$A$4:$K$13</definedName>
    <definedName name="_xlnm._FilterDatabase" localSheetId="3" hidden="1">'Risk Register'!$A$4:$O$16</definedName>
    <definedName name="_xlnm._FilterDatabase" localSheetId="6" hidden="1">'Risk Treatment Plan'!$A$4:$L$16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I16" i="4" s="1"/>
  <c r="H15" i="4"/>
  <c r="I15" i="4" s="1"/>
  <c r="H14" i="4"/>
  <c r="I14" i="4" s="1"/>
  <c r="H13" i="4"/>
  <c r="I13" i="4" s="1"/>
  <c r="H12" i="4"/>
  <c r="I12" i="4" s="1"/>
  <c r="H11" i="4"/>
  <c r="I11" i="4" s="1"/>
  <c r="I10" i="4"/>
  <c r="H10" i="4"/>
  <c r="H9" i="4"/>
  <c r="I9" i="4" s="1"/>
  <c r="H8" i="4"/>
  <c r="I8" i="4" s="1"/>
  <c r="H7" i="4"/>
  <c r="I7" i="4" s="1"/>
  <c r="H6" i="4"/>
  <c r="I6" i="4" s="1"/>
  <c r="H5" i="4"/>
  <c r="I5" i="4" s="1"/>
  <c r="F7" i="2"/>
  <c r="D7" i="2"/>
  <c r="B7" i="2"/>
  <c r="D4" i="2"/>
  <c r="B4" i="2"/>
  <c r="B23" i="2" l="1"/>
  <c r="B22" i="2"/>
  <c r="B20" i="2"/>
  <c r="F4" i="2"/>
  <c r="B21" i="2"/>
</calcChain>
</file>

<file path=xl/sharedStrings.xml><?xml version="1.0" encoding="utf-8"?>
<sst xmlns="http://schemas.openxmlformats.org/spreadsheetml/2006/main" count="904" uniqueCount="563">
  <si>
    <t>Namaa Finance | GRC Portfolio Project</t>
  </si>
  <si>
    <t>Applied fictional case study • Saudi digital financial services company • Excel workbook for learning and portfolio demonstration</t>
  </si>
  <si>
    <t>Topic</t>
  </si>
  <si>
    <t>Details</t>
  </si>
  <si>
    <t>Purpose</t>
  </si>
  <si>
    <t>Demonstrate an end-to-end GRC workflow: Assets → Risks → Controls → Gaps → Treatment → Evidence → Executive Dashboard.</t>
  </si>
  <si>
    <t>Company scenario</t>
  </si>
  <si>
    <t>Namaa Finance is a fictional Saudi digital financial services company with 80 employees, a customer mobile app, digital accounts and payment services.</t>
  </si>
  <si>
    <t>Important note</t>
  </si>
  <si>
    <t>This is a simulated learning project. Statuses, risks, controls, owners and dates are illustrative assumptions—not evidence of a real company's security posture or compliance.</t>
  </si>
  <si>
    <t>How to use</t>
  </si>
  <si>
    <t>Start with Asset Inventory, then follow the linked IDs in Risk Register, Controls, Gap Assessment, Risk Treatment Plan and Evidence Tracker.</t>
  </si>
  <si>
    <t>Risk scoring</t>
  </si>
  <si>
    <t>Likelihood (1–5) × Impact (1–5) = Inherent Risk Score. Suggested bands: 1–4 Low; 5–9 Medium; 10–16 High; 17–25 Critical.</t>
  </si>
  <si>
    <t>Evidence rule</t>
  </si>
  <si>
    <t>A control is not proven effective just because it is written in a spreadsheet. Evidence Tracker identifies what evidence should be collected; 'Pending' means it has not been verified.</t>
  </si>
  <si>
    <t>Framework note</t>
  </si>
  <si>
    <t>NCA ECC references are illustrative high-level mappings for practice. Verify exact control identifiers and current requirements against the official framework before claiming compliance.</t>
  </si>
  <si>
    <t>Portfolio tip</t>
  </si>
  <si>
    <t>When presenting this project, explain your assumptions, show how one risk links to an asset/control/gap/treatment/evidence item, and label it clearly as a fictional case study.</t>
  </si>
  <si>
    <t>Suggested walkthrough</t>
  </si>
  <si>
    <t>1) Asset A001 Customer Database → 2) Risk R-001 Data breach → 3) Control C-01 Encryption/access control → 4) Gap G-01 Evidence/implementation gap → 5) Treatment T-01 → 6) Evidence E-01 → 7) Dashboard.</t>
  </si>
  <si>
    <t>Namaa Finance | Executive GRC Dashboard</t>
  </si>
  <si>
    <t>Fictional training scenario • Summary is formula-driven where possible; verify all assumptions and evidence before making real compliance claims.</t>
  </si>
  <si>
    <t>Assets listed</t>
  </si>
  <si>
    <t>Risks listed</t>
  </si>
  <si>
    <t>High/Critical inherent risks</t>
  </si>
  <si>
    <t>Priority gaps</t>
  </si>
  <si>
    <t>Treatments listed</t>
  </si>
  <si>
    <t>Evidence items pending</t>
  </si>
  <si>
    <t>Management observations</t>
  </si>
  <si>
    <t>1. This is a simulated baseline: many controls are marked 'Not verified' because the scenario has no collected evidence.</t>
  </si>
  <si>
    <t>2. Prioritize customer data protection, MFA, privileged access, backup restore testing, cloud configuration and supplier assurance.</t>
  </si>
  <si>
    <t>3. A treatment is not complete merely because an action is planned; closure requires evidence to be collected, reviewed and accepted.</t>
  </si>
  <si>
    <t>4. Risk scores are illustrative. Reassess likelihood and impact using the company's approved methodology and validated facts.</t>
  </si>
  <si>
    <t>5. Do not claim NCA ECC compliance from this workbook alone; confirm exact requirements, scope, evidence and control effectiveness.</t>
  </si>
  <si>
    <t>Risk level distribution</t>
  </si>
  <si>
    <t>Level</t>
  </si>
  <si>
    <t>Count</t>
  </si>
  <si>
    <t>Critical</t>
  </si>
  <si>
    <t>High</t>
  </si>
  <si>
    <t>Medium</t>
  </si>
  <si>
    <t>Low</t>
  </si>
  <si>
    <t>Asset Inventory | حصر الأصول</t>
  </si>
  <si>
    <t>Identify what the company owns or relies on. CIA values are 1–3: Confidentiality, Integrity, Availability.</t>
  </si>
  <si>
    <t>Asset ID</t>
  </si>
  <si>
    <t>Asset Name</t>
  </si>
  <si>
    <t>Asset Type</t>
  </si>
  <si>
    <t>Business Purpose</t>
  </si>
  <si>
    <t>Data Classification</t>
  </si>
  <si>
    <t>Asset Criticality</t>
  </si>
  <si>
    <t>Confidentiality (1-3)</t>
  </si>
  <si>
    <t>Integrity (1-3)</t>
  </si>
  <si>
    <t>Availability (1-3)</t>
  </si>
  <si>
    <t>Asset Owner</t>
  </si>
  <si>
    <t>Technical Custodian</t>
  </si>
  <si>
    <t>Assumption / Rationale</t>
  </si>
  <si>
    <t>A001</t>
  </si>
  <si>
    <t>Customer Database</t>
  </si>
  <si>
    <t>Data / Database</t>
  </si>
  <si>
    <t>Stores customer identity and account information</t>
  </si>
  <si>
    <t>Highly Confidential</t>
  </si>
  <si>
    <t>Customer Service Manager</t>
  </si>
  <si>
    <t>IT / Database Team</t>
  </si>
  <si>
    <t>Assumed scenario: sensitive personal and account data; encryption status must be verified.</t>
  </si>
  <si>
    <t>A002</t>
  </si>
  <si>
    <t>Employee Accounts</t>
  </si>
  <si>
    <t>Identity / Access</t>
  </si>
  <si>
    <t>Provides staff access to company systems</t>
  </si>
  <si>
    <t>Confidential</t>
  </si>
  <si>
    <t>IT Manager</t>
  </si>
  <si>
    <t>Identity Administrator</t>
  </si>
  <si>
    <t>Accounts can be misused if credentials are compromised; MFA status to be verified.</t>
  </si>
  <si>
    <t>A003</t>
  </si>
  <si>
    <t>Payment Processing System</t>
  </si>
  <si>
    <t>Application</t>
  </si>
  <si>
    <t>Processes digital payments and transfers</t>
  </si>
  <si>
    <t>Head of Operations</t>
  </si>
  <si>
    <t>Application Team</t>
  </si>
  <si>
    <t>Availability and integrity are essential to payment services.</t>
  </si>
  <si>
    <t>A004</t>
  </si>
  <si>
    <t>Transaction Records</t>
  </si>
  <si>
    <t>Data / Records</t>
  </si>
  <si>
    <t>Maintains transaction history and audit trail</t>
  </si>
  <si>
    <t>Finance Manager</t>
  </si>
  <si>
    <t>Database Team</t>
  </si>
  <si>
    <t>Integrity and confidentiality are important for financial records.</t>
  </si>
  <si>
    <t>A005</t>
  </si>
  <si>
    <t>Backup System</t>
  </si>
  <si>
    <t>Infrastructure / Service</t>
  </si>
  <si>
    <t>Supports recovery after deletion, failure or ransomware</t>
  </si>
  <si>
    <t>Infrastructure Team</t>
  </si>
  <si>
    <t>Recovery value depends on backup completion and restore testing.</t>
  </si>
  <si>
    <t>A006</t>
  </si>
  <si>
    <t>Application Server</t>
  </si>
  <si>
    <t>Infrastructure / Server</t>
  </si>
  <si>
    <t>Hosts backend services and APIs</t>
  </si>
  <si>
    <t>Technology Manager</t>
  </si>
  <si>
    <t>Compromise could affect multiple digital services.</t>
  </si>
  <si>
    <t>A007</t>
  </si>
  <si>
    <t>Corporate Email</t>
  </si>
  <si>
    <t>SaaS / Communication</t>
  </si>
  <si>
    <t>Internal and external business communication</t>
  </si>
  <si>
    <t>HR / Admin Manager</t>
  </si>
  <si>
    <t>IT Support</t>
  </si>
  <si>
    <t>Phishing and account takeover are plausible risks.</t>
  </si>
  <si>
    <t>A008</t>
  </si>
  <si>
    <t>Employee Laptops</t>
  </si>
  <si>
    <t>Endpoint / Device</t>
  </si>
  <si>
    <t>Used by employees for daily work</t>
  </si>
  <si>
    <t>Department Managers</t>
  </si>
  <si>
    <t>Endpoints may access business data; endpoint protection status must be checked.</t>
  </si>
  <si>
    <t>A009</t>
  </si>
  <si>
    <t>Public Website</t>
  </si>
  <si>
    <t>Web Application</t>
  </si>
  <si>
    <t>Provides public information and customer guidance</t>
  </si>
  <si>
    <t>Public</t>
  </si>
  <si>
    <t>Marketing Manager</t>
  </si>
  <si>
    <t>Web Team</t>
  </si>
  <si>
    <t>Public-facing service; defacement or outage may affect reputation.</t>
  </si>
  <si>
    <t>A010</t>
  </si>
  <si>
    <t>Mobile Application</t>
  </si>
  <si>
    <t>Customer Application</t>
  </si>
  <si>
    <t>Customer-facing channel for digital services</t>
  </si>
  <si>
    <t>Product Manager</t>
  </si>
  <si>
    <t>Customer access and transactions depend on app security and availability.</t>
  </si>
  <si>
    <t>A011</t>
  </si>
  <si>
    <t>Firewall</t>
  </si>
  <si>
    <t>Network Security</t>
  </si>
  <si>
    <t>Filters network traffic between zones</t>
  </si>
  <si>
    <t>Internal</t>
  </si>
  <si>
    <t>Network Manager</t>
  </si>
  <si>
    <t>Network Team</t>
  </si>
  <si>
    <t>Effectiveness depends on rules, review and change control.</t>
  </si>
  <si>
    <t>A012</t>
  </si>
  <si>
    <t>Security Logs / SIEM</t>
  </si>
  <si>
    <t>Security Monitoring</t>
  </si>
  <si>
    <t>Collects and supports review of security events</t>
  </si>
  <si>
    <t>Security Manager</t>
  </si>
  <si>
    <t>SOC / IT Team</t>
  </si>
  <si>
    <t>Logs support detection and investigation; retention and alert coverage need review.</t>
  </si>
  <si>
    <t>A013</t>
  </si>
  <si>
    <t>HR Records</t>
  </si>
  <si>
    <t>Data / HR System</t>
  </si>
  <si>
    <t>Stores employee personal and employment records</t>
  </si>
  <si>
    <t>HR Manager</t>
  </si>
  <si>
    <t>HR System Admin</t>
  </si>
  <si>
    <t>Contains sensitive employee data.</t>
  </si>
  <si>
    <t>A014</t>
  </si>
  <si>
    <t>Network Infrastructure</t>
  </si>
  <si>
    <t>Infrastructure / Network</t>
  </si>
  <si>
    <t>Connects systems and supports internal communications</t>
  </si>
  <si>
    <t>Network disruption or misconfiguration may affect services.</t>
  </si>
  <si>
    <t>A015</t>
  </si>
  <si>
    <t>Cloud Environment</t>
  </si>
  <si>
    <t>Cloud Platform</t>
  </si>
  <si>
    <t>Hosts selected applications and storage</t>
  </si>
  <si>
    <t>Cloud Service Owner</t>
  </si>
  <si>
    <t>Cloud / IT Team</t>
  </si>
  <si>
    <t>Cloud access, configuration and logging should be reviewed.</t>
  </si>
  <si>
    <t>A016</t>
  </si>
  <si>
    <t>Third-Party Payment Gateway</t>
  </si>
  <si>
    <t>Third Party / Service</t>
  </si>
  <si>
    <t>Provides external payment processing capability</t>
  </si>
  <si>
    <t>Vendor Manager</t>
  </si>
  <si>
    <t>Payments Team</t>
  </si>
  <si>
    <t>Service and data risk depend partly on supplier controls.</t>
  </si>
  <si>
    <t>A017</t>
  </si>
  <si>
    <t>Customer Support Platform</t>
  </si>
  <si>
    <t>SaaS / Application</t>
  </si>
  <si>
    <t>Tracks customer enquiries and support cases</t>
  </si>
  <si>
    <t>Support Platform Admin</t>
  </si>
  <si>
    <t>May contain customer details and conversation history.</t>
  </si>
  <si>
    <t>A018</t>
  </si>
  <si>
    <t>Data Classification Standard</t>
  </si>
  <si>
    <t>Document / Standard</t>
  </si>
  <si>
    <t>Defines how information is classified and handled</t>
  </si>
  <si>
    <t>GRC / Compliance Manager</t>
  </si>
  <si>
    <t>GRC Team</t>
  </si>
  <si>
    <t>A document asset that guides handling; version and approval should be maintained.</t>
  </si>
  <si>
    <t>A019</t>
  </si>
  <si>
    <t>Incident Response Procedure</t>
  </si>
  <si>
    <t>Document / Procedure</t>
  </si>
  <si>
    <t>Guides reporting, escalation and response to incidents</t>
  </si>
  <si>
    <t>Security / IT Team</t>
  </si>
  <si>
    <t>Effectiveness depends on approval, communication and exercises.</t>
  </si>
  <si>
    <t>A020</t>
  </si>
  <si>
    <t>Privileged Admin Accounts</t>
  </si>
  <si>
    <t>Provides elevated access to critical systems</t>
  </si>
  <si>
    <t>Misuse could affect multiple systems; privileged access requires stronger controls.</t>
  </si>
  <si>
    <t>Risk Register | سجل المخاطر</t>
  </si>
  <si>
    <t>Score = Likelihood × Impact. Scores and statuses are illustrative for the fictional case; revise them when evidence is available.</t>
  </si>
  <si>
    <t>Risk ID</t>
  </si>
  <si>
    <t>Risk Title</t>
  </si>
  <si>
    <t>Threat / Event</t>
  </si>
  <si>
    <t>Vulnerability / Uncertainty</t>
  </si>
  <si>
    <t>Likelihood (1-5)</t>
  </si>
  <si>
    <t>Impact (1-5)</t>
  </si>
  <si>
    <t>Inherent Score</t>
  </si>
  <si>
    <t>Inherent Level</t>
  </si>
  <si>
    <t>Related Controls</t>
  </si>
  <si>
    <t>Gap ID</t>
  </si>
  <si>
    <t>Treatment ID</t>
  </si>
  <si>
    <t>Risk Owner</t>
  </si>
  <si>
    <t>Response</t>
  </si>
  <si>
    <t>Notes</t>
  </si>
  <si>
    <t>R-001</t>
  </si>
  <si>
    <t>Customer data breach</t>
  </si>
  <si>
    <t>Unauthorized access / data exfiltration</t>
  </si>
  <si>
    <t>Encryption or access-control effectiveness not yet evidenced</t>
  </si>
  <si>
    <t>C-01; C-02</t>
  </si>
  <si>
    <t>G-01</t>
  </si>
  <si>
    <t>T-01</t>
  </si>
  <si>
    <t>Treat</t>
  </si>
  <si>
    <t>Illustrative scenario; confirm actual control state before scoring residual risk.</t>
  </si>
  <si>
    <t>R-002</t>
  </si>
  <si>
    <t>Employee account takeover</t>
  </si>
  <si>
    <t>Stolen or reused credentials</t>
  </si>
  <si>
    <t>MFA coverage and access review not verified</t>
  </si>
  <si>
    <t>C-03</t>
  </si>
  <si>
    <t>G-02</t>
  </si>
  <si>
    <t>T-02</t>
  </si>
  <si>
    <t>Example threat: phishing or leaked password.</t>
  </si>
  <si>
    <t>R-003</t>
  </si>
  <si>
    <t>Payment service disruption</t>
  </si>
  <si>
    <t>System failure, attack or configuration error</t>
  </si>
  <si>
    <t>Recovery and change controls need validation</t>
  </si>
  <si>
    <t>C-04; C-05</t>
  </si>
  <si>
    <t>G-03</t>
  </si>
  <si>
    <t>T-03</t>
  </si>
  <si>
    <t>Could interrupt customer transactions.</t>
  </si>
  <si>
    <t>R-004</t>
  </si>
  <si>
    <t>Transaction record tampering</t>
  </si>
  <si>
    <t>Unauthorized modification of financial records</t>
  </si>
  <si>
    <t>Privileged access monitoring not confirmed</t>
  </si>
  <si>
    <t>C-02; C-06</t>
  </si>
  <si>
    <t>G-04</t>
  </si>
  <si>
    <t>T-04</t>
  </si>
  <si>
    <t>Integrity impact assumed high.</t>
  </si>
  <si>
    <t>R-005</t>
  </si>
  <si>
    <t>Backup failure during incident</t>
  </si>
  <si>
    <t>Backup unavailable, incomplete or not restorable</t>
  </si>
  <si>
    <t>Restore-test evidence not available in scenario</t>
  </si>
  <si>
    <t>C-07</t>
  </si>
  <si>
    <t>G-05</t>
  </si>
  <si>
    <t>T-05</t>
  </si>
  <si>
    <t>Backup existence alone does not prove recoverability.</t>
  </si>
  <si>
    <t>R-006</t>
  </si>
  <si>
    <t>Malware on employee endpoint</t>
  </si>
  <si>
    <t>Malicious attachment or compromised device</t>
  </si>
  <si>
    <t>Endpoint protection and patch status not verified</t>
  </si>
  <si>
    <t>C-08; C-09</t>
  </si>
  <si>
    <t>G-06</t>
  </si>
  <si>
    <t>T-06</t>
  </si>
  <si>
    <t>Likelihood is an illustrative estimate, not measured frequency.</t>
  </si>
  <si>
    <t>R-007</t>
  </si>
  <si>
    <t>Phishing via corporate email</t>
  </si>
  <si>
    <t>Credential theft or malicious link</t>
  </si>
  <si>
    <t>Awareness and email protection evidence not verified</t>
  </si>
  <si>
    <t>C-03; C-10</t>
  </si>
  <si>
    <t>G-07</t>
  </si>
  <si>
    <t>T-07</t>
  </si>
  <si>
    <t>May lead to account compromise.</t>
  </si>
  <si>
    <t>R-008</t>
  </si>
  <si>
    <t>Cloud misconfiguration</t>
  </si>
  <si>
    <t>Public exposure or excessive permissions</t>
  </si>
  <si>
    <t>Configuration review evidence not confirmed</t>
  </si>
  <si>
    <t>C-02; C-11</t>
  </si>
  <si>
    <t>G-08</t>
  </si>
  <si>
    <t>T-08</t>
  </si>
  <si>
    <t>Validate against cloud inventory and configuration records.</t>
  </si>
  <si>
    <t>R-009</t>
  </si>
  <si>
    <t>Third-party payment service incident</t>
  </si>
  <si>
    <t>Supplier outage or security incident</t>
  </si>
  <si>
    <t>Supplier assurance and contingency evidence not available</t>
  </si>
  <si>
    <t>C-12</t>
  </si>
  <si>
    <t>G-09</t>
  </si>
  <si>
    <t>T-09</t>
  </si>
  <si>
    <t>Supplier controls are not directly managed by the company.</t>
  </si>
  <si>
    <t>R-010</t>
  </si>
  <si>
    <t>Public website defacement</t>
  </si>
  <si>
    <t>Unauthorized website changes</t>
  </si>
  <si>
    <t>Web change review and protection need validation</t>
  </si>
  <si>
    <t>C-05; C-09</t>
  </si>
  <si>
    <t>T-10</t>
  </si>
  <si>
    <t>Mitigate</t>
  </si>
  <si>
    <t>Lower impact assumption for public information website.</t>
  </si>
  <si>
    <t>R-011</t>
  </si>
  <si>
    <t>Privileged account misuse</t>
  </si>
  <si>
    <t>Abuse of elevated access</t>
  </si>
  <si>
    <t>Privileged account review and logging not verified</t>
  </si>
  <si>
    <t>C-02; C-03; C-06</t>
  </si>
  <si>
    <t>T-11</t>
  </si>
  <si>
    <t>High potential impact across systems.</t>
  </si>
  <si>
    <t>R-012</t>
  </si>
  <si>
    <t>Security incident not detected promptly</t>
  </si>
  <si>
    <t>Logging gaps or alerts not reviewed</t>
  </si>
  <si>
    <t>Monitoring coverage and response evidence not confirmed</t>
  </si>
  <si>
    <t>C-06; C-13</t>
  </si>
  <si>
    <t>T-12</t>
  </si>
  <si>
    <t>Log collection does not automatically mean alerts are monitored.</t>
  </si>
  <si>
    <t>Controls | الضوابط</t>
  </si>
  <si>
    <t>A control is a safeguard. 'Not verified' means the fictional scenario does not yet contain enough evidence to conclude it is operating effectively.</t>
  </si>
  <si>
    <t>Control ID</t>
  </si>
  <si>
    <t>Control Name</t>
  </si>
  <si>
    <t>Related Asset ID(s)</t>
  </si>
  <si>
    <t>Objective</t>
  </si>
  <si>
    <t>Expected Operation</t>
  </si>
  <si>
    <t>Control Type</t>
  </si>
  <si>
    <t>Scenario Status</t>
  </si>
  <si>
    <t>Evidence to Request</t>
  </si>
  <si>
    <t>Control Owner</t>
  </si>
  <si>
    <t>Related Gap ID(s)</t>
  </si>
  <si>
    <t>C-01</t>
  </si>
  <si>
    <t>Data encryption</t>
  </si>
  <si>
    <t>Protect sensitive customer data at rest and in transit</t>
  </si>
  <si>
    <t>Encryption configured using approved methods</t>
  </si>
  <si>
    <t>Technical</t>
  </si>
  <si>
    <t>Partially evidenced</t>
  </si>
  <si>
    <t>Screenshot/configuration export; key-management settings</t>
  </si>
  <si>
    <t>High-level data protection requirement; validate exact framework mapping.</t>
  </si>
  <si>
    <t>C-02</t>
  </si>
  <si>
    <t>Access control and periodic access review</t>
  </si>
  <si>
    <t>A001; A004; A015; A020</t>
  </si>
  <si>
    <t>Limit access to authorized users and review privileges</t>
  </si>
  <si>
    <t>Approved access list and completed review record</t>
  </si>
  <si>
    <t>Administrative / Technical</t>
  </si>
  <si>
    <t>Not verified</t>
  </si>
  <si>
    <t>Access review export with reviewer and date</t>
  </si>
  <si>
    <t>G-01; G-04; G-08</t>
  </si>
  <si>
    <t>Control design and implementation must be assessed separately.</t>
  </si>
  <si>
    <t>Multi-factor authentication (MFA)</t>
  </si>
  <si>
    <t>A002; A007; A020</t>
  </si>
  <si>
    <t>Reduce risk of account compromise</t>
  </si>
  <si>
    <t>MFA coverage report and configuration evidence</t>
  </si>
  <si>
    <t>Identity-provider MFA report</t>
  </si>
  <si>
    <t>G-02; G-07</t>
  </si>
  <si>
    <t>Example control; do not claim enabled until verified.</t>
  </si>
  <si>
    <t>C-04</t>
  </si>
  <si>
    <t>Availability and resilience monitoring</t>
  </si>
  <si>
    <t>Detect service degradation and support continuity</t>
  </si>
  <si>
    <t>Monitoring alerts and incident records</t>
  </si>
  <si>
    <t>Monitoring configuration and sample alert</t>
  </si>
  <si>
    <t>Operations Manager</t>
  </si>
  <si>
    <t>C-05</t>
  </si>
  <si>
    <t>Change management</t>
  </si>
  <si>
    <t>A003; A009</t>
  </si>
  <si>
    <t>Ensure system changes are authorized and tested</t>
  </si>
  <si>
    <t>Approved change tickets and test records</t>
  </si>
  <si>
    <t>Sample approved change record</t>
  </si>
  <si>
    <t>G-03; G-10</t>
  </si>
  <si>
    <t>C-06</t>
  </si>
  <si>
    <t>Security logging and privileged activity monitoring</t>
  </si>
  <si>
    <t>A004; A012; A020</t>
  </si>
  <si>
    <t>Record and review important security events</t>
  </si>
  <si>
    <t>Logs, alert rules, review records</t>
  </si>
  <si>
    <t>SIEM query or log sample; review evidence</t>
  </si>
  <si>
    <t>G-04; G-06</t>
  </si>
  <si>
    <t>Backup and restore testing</t>
  </si>
  <si>
    <t>Ensure critical data can be recovered</t>
  </si>
  <si>
    <t>Backup jobs and successful restore-test record</t>
  </si>
  <si>
    <t>Technical / Operational</t>
  </si>
  <si>
    <t>Latest backup report and restore-test result</t>
  </si>
  <si>
    <t>C-08</t>
  </si>
  <si>
    <t>Endpoint protection</t>
  </si>
  <si>
    <t>Detect and reduce malware risk on laptops</t>
  </si>
  <si>
    <t>EDR/endpoint agent status and alert sample</t>
  </si>
  <si>
    <t>Endpoint console export</t>
  </si>
  <si>
    <t>C-09</t>
  </si>
  <si>
    <t>Patch and vulnerability management</t>
  </si>
  <si>
    <t>A008; A009</t>
  </si>
  <si>
    <t>Identify and remediate known vulnerabilities</t>
  </si>
  <si>
    <t>Patch compliance and vulnerability scan reports</t>
  </si>
  <si>
    <t>Patch report; remediation tickets</t>
  </si>
  <si>
    <t>G-06; G-10</t>
  </si>
  <si>
    <t>C-10</t>
  </si>
  <si>
    <t>Email security and user awareness</t>
  </si>
  <si>
    <t>Reduce phishing and malicious email risk</t>
  </si>
  <si>
    <t>Email protection configuration and training records</t>
  </si>
  <si>
    <t>Technical / Administrative</t>
  </si>
  <si>
    <t>Email security report; training completion record</t>
  </si>
  <si>
    <t>C-11</t>
  </si>
  <si>
    <t>Cloud configuration review</t>
  </si>
  <si>
    <t>Identify public exposure and excessive permissions</t>
  </si>
  <si>
    <t>Cloud posture review and remediation records</t>
  </si>
  <si>
    <t>Configuration scan export and closed findings</t>
  </si>
  <si>
    <t>Third-party security assurance</t>
  </si>
  <si>
    <t>Assess supplier security and continuity risks</t>
  </si>
  <si>
    <t>Due diligence, contract clauses, assurance review</t>
  </si>
  <si>
    <t>Administrative</t>
  </si>
  <si>
    <t>Supplier assessment and review record</t>
  </si>
  <si>
    <t>C-13</t>
  </si>
  <si>
    <t>Incident response process</t>
  </si>
  <si>
    <t>A012; A019</t>
  </si>
  <si>
    <t>Support timely triage, escalation and response</t>
  </si>
  <si>
    <t>Approved procedure, incident log and exercise record</t>
  </si>
  <si>
    <t>Administrative / Operational</t>
  </si>
  <si>
    <t>Approved procedure and tabletop exercise record</t>
  </si>
  <si>
    <t>Gap Assessment | تقييم الفجوات</t>
  </si>
  <si>
    <t>A gap is a difference between an expected requirement/control and the evidence available about current implementation.</t>
  </si>
  <si>
    <t>Gap / Topic</t>
  </si>
  <si>
    <t>Related Control ID(s)</t>
  </si>
  <si>
    <t>Observed Gap / Missing Information</t>
  </si>
  <si>
    <t>Assessment Status</t>
  </si>
  <si>
    <t>Priority</t>
  </si>
  <si>
    <t>Gap Owner</t>
  </si>
  <si>
    <t>Recommended Next Step</t>
  </si>
  <si>
    <t>Status</t>
  </si>
  <si>
    <t>Customer data encryption/access review</t>
  </si>
  <si>
    <t>Evidence of encryption and access review is not available in the scenario</t>
  </si>
  <si>
    <t>Partially evidenced / needs validation</t>
  </si>
  <si>
    <t>Request configuration and access review evidence; validate encryption scope.</t>
  </si>
  <si>
    <t>Open</t>
  </si>
  <si>
    <t>MFA coverage for employee accounts</t>
  </si>
  <si>
    <t>MFA coverage has not been verified</t>
  </si>
  <si>
    <t>Export MFA coverage; identify exceptions and remediate accounts without MFA.</t>
  </si>
  <si>
    <t>Payment service resilience/change records</t>
  </si>
  <si>
    <t>Monitoring and change records need validation</t>
  </si>
  <si>
    <t>Review monitoring configuration, change approvals and service recovery plans.</t>
  </si>
  <si>
    <t>Privileged access and transaction integrity</t>
  </si>
  <si>
    <t>A004; A020</t>
  </si>
  <si>
    <t>Access review and privileged activity evidence not confirmed</t>
  </si>
  <si>
    <t>Review privileged account inventory, approvals and monitoring records.</t>
  </si>
  <si>
    <t>Backup restore testing</t>
  </si>
  <si>
    <t>No restore-test evidence is available in the scenario</t>
  </si>
  <si>
    <t>Run a controlled restore test and retain dated result with owner approval.</t>
  </si>
  <si>
    <t>Endpoint, logging and incident detection</t>
  </si>
  <si>
    <t>A008; A012</t>
  </si>
  <si>
    <t>C-06; C-08; C-09; C-13</t>
  </si>
  <si>
    <t>Endpoint coverage, patching and alert review need validation</t>
  </si>
  <si>
    <t>Collect endpoint coverage, patch status, SIEM alert review and response exercise evidence.</t>
  </si>
  <si>
    <t>Phishing protection and awareness</t>
  </si>
  <si>
    <t>Email controls, MFA and training evidence not confirmed</t>
  </si>
  <si>
    <t>Validate email security settings, MFA coverage and awareness completion.</t>
  </si>
  <si>
    <t>Cloud configuration and permissions</t>
  </si>
  <si>
    <t>Cloud configuration review and access evidence not available</t>
  </si>
  <si>
    <t>Perform cloud configuration review and close exposed-resource or excessive-permission findings.</t>
  </si>
  <si>
    <t>Supplier security assurance</t>
  </si>
  <si>
    <t>Supplier assessment and contingency evidence not available</t>
  </si>
  <si>
    <t>Complete supplier security review and confirm incident notification/continuity clauses.</t>
  </si>
  <si>
    <t>G-10</t>
  </si>
  <si>
    <t>Public website patch/change controls</t>
  </si>
  <si>
    <t>Evidence of approved website changes and current patch/vulnerability reviews is not available in the scenario</t>
  </si>
  <si>
    <t>Marketing Manager + Web Team</t>
  </si>
  <si>
    <t>Review a sample of approved changes and current patch/vulnerability records; document and remediate exceptions.</t>
  </si>
  <si>
    <t>Risk Treatment Plan | خطة معالجة المخاطر</t>
  </si>
  <si>
    <t>Planned actions only. Dates are illustrative project deadlines, not commitments by a real organization.</t>
  </si>
  <si>
    <t>Action / Treatment</t>
  </si>
  <si>
    <t>Related Risk ID(s)</t>
  </si>
  <si>
    <t>Related Gap ID</t>
  </si>
  <si>
    <t>Planned Actions</t>
  </si>
  <si>
    <t>Action Owner</t>
  </si>
  <si>
    <t>Target Date</t>
  </si>
  <si>
    <t>Treatment Option</t>
  </si>
  <si>
    <t>Evidence Required for Closure</t>
  </si>
  <si>
    <t>Validate and implement encryption/access review for customer data</t>
  </si>
  <si>
    <t>Confirm database encryption in transit/at rest; review access permissions; remediate exceptions</t>
  </si>
  <si>
    <t>Security Manager + Database Team</t>
  </si>
  <si>
    <t>Planned</t>
  </si>
  <si>
    <t>Configuration export; access review sign-off</t>
  </si>
  <si>
    <t>Not started</t>
  </si>
  <si>
    <t>No implementation claim until evidence is reviewed.</t>
  </si>
  <si>
    <t>Verify and enforce MFA</t>
  </si>
  <si>
    <t>Export MFA coverage; enable MFA for in-scope accounts; document approved exceptions</t>
  </si>
  <si>
    <t>MFA coverage report and exception register</t>
  </si>
  <si>
    <t>Validate payment service resilience and change control</t>
  </si>
  <si>
    <t>Review monitoring, approved changes, service continuity and recovery arrangements</t>
  </si>
  <si>
    <t>Monitoring sample; approved change ticket; recovery test</t>
  </si>
  <si>
    <t>Review privileged access and logging</t>
  </si>
  <si>
    <t>R-004; R-011</t>
  </si>
  <si>
    <t>Inventory privileged accounts; confirm approvals; review logs and remove unnecessary access</t>
  </si>
  <si>
    <t>Privileged account export; access review; log sample</t>
  </si>
  <si>
    <t>Perform backup restore test</t>
  </si>
  <si>
    <t>Select approved test data, restore to safe environment, record outcome and remediate failures</t>
  </si>
  <si>
    <t>Dated restore-test report and remediation ticket</t>
  </si>
  <si>
    <t>Validate endpoint and detection coverage</t>
  </si>
  <si>
    <t>R-006; R-012</t>
  </si>
  <si>
    <t>Check endpoint agent/patch coverage; review SIEM alerting; conduct incident-response tabletop exercise</t>
  </si>
  <si>
    <t>Endpoint report; patch report; alert review; exercise minutes</t>
  </si>
  <si>
    <t>Improve phishing safeguards</t>
  </si>
  <si>
    <t>Validate email protections and MFA; complete awareness training and track exceptions</t>
  </si>
  <si>
    <t>Email security report; MFA report; training completion</t>
  </si>
  <si>
    <t>Review cloud configuration and permissions</t>
  </si>
  <si>
    <t>Run cloud posture review; fix public exposure and excessive permissions; document approvals</t>
  </si>
  <si>
    <t>Cloud scan export and closure evidence</t>
  </si>
  <si>
    <t>Complete supplier security review</t>
  </si>
  <si>
    <t>Assess supplier security and continuity; review contract terms and escalation contacts</t>
  </si>
  <si>
    <t>Completed supplier assessment and contract review</t>
  </si>
  <si>
    <t>Validate public website change and patch controls</t>
  </si>
  <si>
    <t>Sample website changes and review patch/vulnerability records</t>
  </si>
  <si>
    <t>Approved change ticket and patch report</t>
  </si>
  <si>
    <t>G-10 is tracked in this treatment even though only 9 priority gaps are listed.</t>
  </si>
  <si>
    <t>Review privileged account misuse risk</t>
  </si>
  <si>
    <t>Remove stale privileged access; require approvals and periodic review</t>
  </si>
  <si>
    <t>Privileged access review and approved changes</t>
  </si>
  <si>
    <t>Linked to G-04.</t>
  </si>
  <si>
    <t>Validate monitoring and incident response</t>
  </si>
  <si>
    <t>Confirm critical logs are collected, alerts assigned and response steps tested</t>
  </si>
  <si>
    <t>Log sample; alert ownership; tabletop exercise record</t>
  </si>
  <si>
    <t>Linked to G-06.</t>
  </si>
  <si>
    <t>Evidence Tracker | سجل الأدلة</t>
  </si>
  <si>
    <t>Track what evidence is needed, who provides it and whether it has actually been received and reviewed.</t>
  </si>
  <si>
    <t>Evidence ID</t>
  </si>
  <si>
    <t>Evidence Item</t>
  </si>
  <si>
    <t>Control ID(s)</t>
  </si>
  <si>
    <t>Linked Asset / Risk / Gap / Treatment</t>
  </si>
  <si>
    <t>Evidence Description / Acceptance Criteria</t>
  </si>
  <si>
    <t>Evidence Owner</t>
  </si>
  <si>
    <t>Current State</t>
  </si>
  <si>
    <t>Closure Link</t>
  </si>
  <si>
    <t>E-01</t>
  </si>
  <si>
    <t>Customer database encryption</t>
  </si>
  <si>
    <t>A001 / R-001 / G-01 / T-01</t>
  </si>
  <si>
    <t>Database configuration export or approved screenshot; encryption scope and date visible</t>
  </si>
  <si>
    <t>Pending</t>
  </si>
  <si>
    <t>Not received in fictional scenario</t>
  </si>
  <si>
    <t>Do not mark complete until reviewed.</t>
  </si>
  <si>
    <t>E-02</t>
  </si>
  <si>
    <t>Customer data access review</t>
  </si>
  <si>
    <t>Dated access list, reviewer approval, exceptions and closure evidence</t>
  </si>
  <si>
    <t>E-03</t>
  </si>
  <si>
    <t>MFA coverage report</t>
  </si>
  <si>
    <t>A002 / R-002 / G-02 / T-02</t>
  </si>
  <si>
    <t>Identity provider export showing enabled/disabled accounts and exceptions</t>
  </si>
  <si>
    <t>E-04</t>
  </si>
  <si>
    <t>Payment monitoring and change records</t>
  </si>
  <si>
    <t>A003 / R-003 / G-03 / T-03</t>
  </si>
  <si>
    <t>Sample alert, approved change ticket and recovery test record</t>
  </si>
  <si>
    <t>Operations Team</t>
  </si>
  <si>
    <t>E-05</t>
  </si>
  <si>
    <t>Privileged access review</t>
  </si>
  <si>
    <t>A004 / A020 / R-004 / R-011 / G-04 / T-04</t>
  </si>
  <si>
    <t>Privileged account inventory, reviewer sign-off and log sample</t>
  </si>
  <si>
    <t>T-04 / T-11</t>
  </si>
  <si>
    <t>E-06</t>
  </si>
  <si>
    <t>Backup restore-test report</t>
  </si>
  <si>
    <t>A005 / R-005 / G-05 / T-05</t>
  </si>
  <si>
    <t>Dated test procedure, result, approver and remediation for failures</t>
  </si>
  <si>
    <t>E-07</t>
  </si>
  <si>
    <t>Endpoint and SIEM coverage</t>
  </si>
  <si>
    <t>A008 / A012 / R-006 / R-012 / G-06 / T-06</t>
  </si>
  <si>
    <t>Endpoint and patch exports, alert review record, incident exercise minutes</t>
  </si>
  <si>
    <t>Security Team</t>
  </si>
  <si>
    <t>T-06 / T-12</t>
  </si>
  <si>
    <t>E-08</t>
  </si>
  <si>
    <t>Email protection and awareness</t>
  </si>
  <si>
    <t>C-10; C-03</t>
  </si>
  <si>
    <t>A007 / R-007 / G-07 / T-07</t>
  </si>
  <si>
    <t>Email security report, MFA coverage and training completion record</t>
  </si>
  <si>
    <t>IT Team</t>
  </si>
  <si>
    <t>E-09</t>
  </si>
  <si>
    <t>C-11; C-02</t>
  </si>
  <si>
    <t>A015 / R-008 / G-08 / T-08</t>
  </si>
  <si>
    <t>Cloud posture report, approved remediation ticket and re-scan result</t>
  </si>
  <si>
    <t>Cloud Team</t>
  </si>
  <si>
    <t>E-10</t>
  </si>
  <si>
    <t>Supplier security assessment</t>
  </si>
  <si>
    <t>A016 / R-009 / G-09 / T-09</t>
  </si>
  <si>
    <t>Completed supplier assessment, contract clauses and continuity contacts</t>
  </si>
  <si>
    <t>E-11</t>
  </si>
  <si>
    <t>Website change and patch records</t>
  </si>
  <si>
    <t>A009 / R-010 / G-10 / T-10</t>
  </si>
  <si>
    <t>Approved change sample and current patch/vulnerability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</si>
</sst>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sz val="11"/>
      <name val="Arial"/>
    </font>
    <font>
      <b/>
      <sz val="10"/>
      <color rgb="FFFFFFFF"/>
      <name val="Arial"/>
    </font>
    <font>
      <sz val="10"/>
      <color rgb="FF1F1F1F"/>
      <name val="Arial"/>
    </font>
    <font>
      <b/>
      <sz val="18"/>
      <color rgb="FFFFFFFF"/>
      <name val="Arial"/>
    </font>
    <font>
      <b/>
      <sz val="18"/>
      <color rgb="FF17365D"/>
      <name val="Arial"/>
    </font>
    <font>
      <b/>
      <sz val="13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0" xfId="0" applyFont="1" applyFill="1" applyAlignment="1">
      <alignment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3" fillId="3" borderId="0" xfId="0" applyFont="1" applyFill="1"/>
    <xf numFmtId="0" fontId="4" fillId="4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1" fontId="6" fillId="0" borderId="1" xfId="0" applyNumberFormat="1" applyFont="1" applyBorder="1" applyAlignment="1">
      <alignment vertical="top" wrapText="1"/>
    </xf>
    <xf numFmtId="1" fontId="6" fillId="4" borderId="1" xfId="0" applyNumberFormat="1" applyFont="1" applyFill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9" fillId="2" borderId="0" xfId="0" applyFont="1" applyFill="1"/>
    <xf numFmtId="0" fontId="4" fillId="4" borderId="0" xfId="0" applyFont="1" applyFill="1" applyAlignment="1">
      <alignment vertical="center" wrapText="1"/>
    </xf>
    <xf numFmtId="0" fontId="2" fillId="0" borderId="0" xfId="0" applyFont="1"/>
    <xf numFmtId="0" fontId="7" fillId="2" borderId="0" xfId="0" applyFont="1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t>Risks by Inherent Level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Dashboard'!$B$19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Dashboard'!$A$20:$A$23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Dashboard'!$B$20:$B$23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4403-AE06-B597D86C9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Number of risks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18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H13"/>
  <sheetViews>
    <sheetView showGridLines="0" tabSelected="1" workbookViewId="0">
      <pane ySplit="4" topLeftCell="A5" activePane="bottomLeft" state="frozen"/>
      <selection pane="bottomLeft"/>
    </sheetView>
  </sheetViews>
  <sheetFormatPr defaultRowHeight="14" x14ac:dyDescent="0.3"/>
  <cols>
    <col min="1" max="1" width="25" customWidth="1"/>
    <col min="2" max="2" width="110" customWidth="1"/>
  </cols>
  <sheetData>
    <row r="1" spans="1:8" ht="30" customHeight="1" x14ac:dyDescent="0.3">
      <c r="A1" s="17" t="s">
        <v>0</v>
      </c>
      <c r="B1" s="16"/>
      <c r="C1" s="16"/>
      <c r="D1" s="16"/>
      <c r="E1" s="16"/>
      <c r="F1" s="16"/>
      <c r="G1" s="16"/>
      <c r="H1" s="16"/>
    </row>
    <row r="2" spans="1:8" ht="32" customHeight="1" x14ac:dyDescent="0.3">
      <c r="A2" s="15" t="s">
        <v>1</v>
      </c>
      <c r="B2" s="16"/>
      <c r="C2" s="16"/>
      <c r="D2" s="16"/>
      <c r="E2" s="16"/>
      <c r="F2" s="16"/>
      <c r="G2" s="16"/>
      <c r="H2" s="16"/>
    </row>
    <row r="4" spans="1:8" x14ac:dyDescent="0.3">
      <c r="A4" s="1" t="s">
        <v>2</v>
      </c>
      <c r="B4" s="1" t="s">
        <v>3</v>
      </c>
    </row>
    <row r="5" spans="1:8" ht="52" customHeight="1" x14ac:dyDescent="0.3">
      <c r="A5" s="2" t="s">
        <v>4</v>
      </c>
      <c r="B5" s="2" t="s">
        <v>5</v>
      </c>
    </row>
    <row r="6" spans="1:8" ht="52" customHeight="1" x14ac:dyDescent="0.3">
      <c r="A6" s="3" t="s">
        <v>6</v>
      </c>
      <c r="B6" s="3" t="s">
        <v>7</v>
      </c>
    </row>
    <row r="7" spans="1:8" ht="52" customHeight="1" x14ac:dyDescent="0.3">
      <c r="A7" s="2" t="s">
        <v>8</v>
      </c>
      <c r="B7" s="2" t="s">
        <v>9</v>
      </c>
    </row>
    <row r="8" spans="1:8" ht="52" customHeight="1" x14ac:dyDescent="0.3">
      <c r="A8" s="3" t="s">
        <v>10</v>
      </c>
      <c r="B8" s="3" t="s">
        <v>11</v>
      </c>
    </row>
    <row r="9" spans="1:8" ht="52" customHeight="1" x14ac:dyDescent="0.3">
      <c r="A9" s="2" t="s">
        <v>12</v>
      </c>
      <c r="B9" s="2" t="s">
        <v>13</v>
      </c>
    </row>
    <row r="10" spans="1:8" ht="52" customHeight="1" x14ac:dyDescent="0.3">
      <c r="A10" s="3" t="s">
        <v>14</v>
      </c>
      <c r="B10" s="3" t="s">
        <v>15</v>
      </c>
    </row>
    <row r="11" spans="1:8" ht="52" customHeight="1" x14ac:dyDescent="0.3">
      <c r="A11" s="2" t="s">
        <v>16</v>
      </c>
      <c r="B11" s="2" t="s">
        <v>17</v>
      </c>
    </row>
    <row r="12" spans="1:8" ht="52" customHeight="1" x14ac:dyDescent="0.3">
      <c r="A12" s="3" t="s">
        <v>18</v>
      </c>
      <c r="B12" s="3" t="s">
        <v>19</v>
      </c>
    </row>
    <row r="13" spans="1:8" ht="52" customHeight="1" x14ac:dyDescent="0.3">
      <c r="A13" s="2" t="s">
        <v>20</v>
      </c>
      <c r="B13" s="2" t="s">
        <v>21</v>
      </c>
    </row>
  </sheetData>
  <mergeCells count="2">
    <mergeCell ref="A2:H2"/>
    <mergeCell ref="A1:H1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H23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30" customWidth="1"/>
    <col min="2" max="8" width="18" customWidth="1"/>
  </cols>
  <sheetData>
    <row r="1" spans="1:8" ht="34" customHeight="1" x14ac:dyDescent="0.5">
      <c r="A1" s="22" t="s">
        <v>22</v>
      </c>
      <c r="B1" s="16"/>
      <c r="C1" s="16"/>
      <c r="D1" s="16"/>
      <c r="E1" s="16"/>
      <c r="F1" s="16"/>
      <c r="G1" s="16"/>
      <c r="H1" s="16"/>
    </row>
    <row r="2" spans="1:8" ht="30" customHeight="1" x14ac:dyDescent="0.3">
      <c r="A2" s="21" t="s">
        <v>23</v>
      </c>
      <c r="B2" s="16"/>
      <c r="C2" s="16"/>
      <c r="D2" s="16"/>
      <c r="E2" s="16"/>
      <c r="F2" s="16"/>
      <c r="G2" s="16"/>
      <c r="H2" s="16"/>
    </row>
    <row r="4" spans="1:8" ht="42" customHeight="1" x14ac:dyDescent="0.3">
      <c r="A4" s="4" t="s">
        <v>24</v>
      </c>
      <c r="B4" s="5">
        <f>COUNTA('Asset Inventory'!A5:A24)</f>
        <v>20</v>
      </c>
      <c r="C4" s="4" t="s">
        <v>25</v>
      </c>
      <c r="D4" s="5">
        <f>COUNTA('Risk Register'!A5:A16)</f>
        <v>12</v>
      </c>
      <c r="E4" s="4" t="s">
        <v>26</v>
      </c>
      <c r="F4" s="5">
        <f>COUNTIF('Risk Register'!I5:I16,"High")+COUNTIF('Risk Register'!I5:I16,"Critical")</f>
        <v>11</v>
      </c>
    </row>
    <row r="7" spans="1:8" ht="42" customHeight="1" x14ac:dyDescent="0.3">
      <c r="A7" s="4" t="s">
        <v>27</v>
      </c>
      <c r="B7" s="5">
        <f>COUNTA('Gap Assessment'!A5:A14)</f>
        <v>10</v>
      </c>
      <c r="C7" s="4" t="s">
        <v>28</v>
      </c>
      <c r="D7" s="5">
        <f>COUNTA('Risk Treatment Plan'!A5:A16)</f>
        <v>12</v>
      </c>
      <c r="E7" s="4" t="s">
        <v>29</v>
      </c>
      <c r="F7" s="5">
        <f>COUNTIF('Evidence Tracker'!G5:G15,"Pending")</f>
        <v>11</v>
      </c>
    </row>
    <row r="10" spans="1:8" ht="16.5" x14ac:dyDescent="0.35">
      <c r="A10" s="19" t="s">
        <v>30</v>
      </c>
      <c r="B10" s="16"/>
      <c r="C10" s="16"/>
      <c r="D10" s="16"/>
      <c r="E10" s="16"/>
      <c r="F10" s="16"/>
      <c r="G10" s="16"/>
      <c r="H10" s="16"/>
    </row>
    <row r="11" spans="1:8" ht="35" customHeight="1" x14ac:dyDescent="0.3">
      <c r="A11" s="20" t="s">
        <v>31</v>
      </c>
      <c r="B11" s="16"/>
      <c r="C11" s="16"/>
      <c r="D11" s="16"/>
      <c r="E11" s="16"/>
      <c r="F11" s="16"/>
      <c r="G11" s="16"/>
      <c r="H11" s="16"/>
    </row>
    <row r="12" spans="1:8" ht="35" customHeight="1" x14ac:dyDescent="0.3">
      <c r="A12" s="18" t="s">
        <v>32</v>
      </c>
      <c r="B12" s="16"/>
      <c r="C12" s="16"/>
      <c r="D12" s="16"/>
      <c r="E12" s="16"/>
      <c r="F12" s="16"/>
      <c r="G12" s="16"/>
      <c r="H12" s="16"/>
    </row>
    <row r="13" spans="1:8" ht="35" customHeight="1" x14ac:dyDescent="0.3">
      <c r="A13" s="20" t="s">
        <v>33</v>
      </c>
      <c r="B13" s="16"/>
      <c r="C13" s="16"/>
      <c r="D13" s="16"/>
      <c r="E13" s="16"/>
      <c r="F13" s="16"/>
      <c r="G13" s="16"/>
      <c r="H13" s="16"/>
    </row>
    <row r="14" spans="1:8" ht="35" customHeight="1" x14ac:dyDescent="0.3">
      <c r="A14" s="18" t="s">
        <v>34</v>
      </c>
      <c r="B14" s="16"/>
      <c r="C14" s="16"/>
      <c r="D14" s="16"/>
      <c r="E14" s="16"/>
      <c r="F14" s="16"/>
      <c r="G14" s="16"/>
      <c r="H14" s="16"/>
    </row>
    <row r="15" spans="1:8" ht="35" customHeight="1" x14ac:dyDescent="0.3">
      <c r="A15" s="20" t="s">
        <v>35</v>
      </c>
      <c r="B15" s="16"/>
      <c r="C15" s="16"/>
      <c r="D15" s="16"/>
      <c r="E15" s="16"/>
      <c r="F15" s="16"/>
      <c r="G15" s="16"/>
      <c r="H15" s="16"/>
    </row>
    <row r="18" spans="1:4" ht="16.5" x14ac:dyDescent="0.35">
      <c r="A18" s="19" t="s">
        <v>36</v>
      </c>
      <c r="B18" s="16"/>
      <c r="C18" s="16"/>
      <c r="D18" s="16"/>
    </row>
    <row r="19" spans="1:4" x14ac:dyDescent="0.3">
      <c r="A19" s="6" t="s">
        <v>37</v>
      </c>
      <c r="B19" s="6" t="s">
        <v>38</v>
      </c>
    </row>
    <row r="20" spans="1:4" x14ac:dyDescent="0.3">
      <c r="A20" s="7" t="s">
        <v>39</v>
      </c>
      <c r="B20" s="7">
        <f>COUNTIF('Risk Register'!I5:I16,A20)</f>
        <v>1</v>
      </c>
    </row>
    <row r="21" spans="1:4" x14ac:dyDescent="0.3">
      <c r="A21" s="7" t="s">
        <v>40</v>
      </c>
      <c r="B21" s="7">
        <f>COUNTIF('Risk Register'!I5:I16,A21)</f>
        <v>10</v>
      </c>
    </row>
    <row r="22" spans="1:4" x14ac:dyDescent="0.3">
      <c r="A22" s="7" t="s">
        <v>41</v>
      </c>
      <c r="B22" s="7">
        <f>COUNTIF('Risk Register'!I5:I16,A22)</f>
        <v>0</v>
      </c>
    </row>
    <row r="23" spans="1:4" x14ac:dyDescent="0.3">
      <c r="A23" s="7" t="s">
        <v>42</v>
      </c>
      <c r="B23" s="7">
        <f>COUNTIF('Risk Register'!I5:I16,A23)</f>
        <v>1</v>
      </c>
    </row>
  </sheetData>
  <mergeCells count="9">
    <mergeCell ref="A1:H1"/>
    <mergeCell ref="A12:H12"/>
    <mergeCell ref="A18:D18"/>
    <mergeCell ref="A15:H15"/>
    <mergeCell ref="A2:H2"/>
    <mergeCell ref="A10:H10"/>
    <mergeCell ref="A13:H13"/>
    <mergeCell ref="A11:H11"/>
    <mergeCell ref="A14:H14"/>
  </mergeCells>
  <pageMargins left="0.25" right="0.2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L24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2" width="27" customWidth="1"/>
    <col min="3" max="3" width="23" customWidth="1"/>
    <col min="4" max="4" width="40" customWidth="1"/>
    <col min="5" max="5" width="22" customWidth="1"/>
    <col min="6" max="6" width="17" customWidth="1"/>
    <col min="7" max="7" width="18" customWidth="1"/>
    <col min="8" max="8" width="15" customWidth="1"/>
    <col min="9" max="9" width="17" customWidth="1"/>
    <col min="10" max="11" width="24" customWidth="1"/>
    <col min="12" max="12" width="55" customWidth="1"/>
  </cols>
  <sheetData>
    <row r="1" spans="1:12" ht="30" customHeight="1" x14ac:dyDescent="0.3">
      <c r="A1" s="17" t="s">
        <v>43</v>
      </c>
      <c r="B1" s="16"/>
      <c r="C1" s="16"/>
      <c r="D1" s="16"/>
      <c r="E1" s="16"/>
      <c r="F1" s="16"/>
      <c r="G1" s="16"/>
      <c r="H1" s="16"/>
    </row>
    <row r="2" spans="1:12" ht="32" customHeight="1" x14ac:dyDescent="0.3">
      <c r="A2" s="15" t="s">
        <v>44</v>
      </c>
      <c r="B2" s="16"/>
      <c r="C2" s="16"/>
      <c r="D2" s="16"/>
      <c r="E2" s="16"/>
      <c r="F2" s="16"/>
      <c r="G2" s="16"/>
      <c r="H2" s="16"/>
    </row>
    <row r="4" spans="1:12" ht="38" customHeight="1" x14ac:dyDescent="0.3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</row>
    <row r="5" spans="1:12" ht="48" customHeight="1" x14ac:dyDescent="0.3">
      <c r="A5" s="9" t="s">
        <v>57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40</v>
      </c>
      <c r="G5" s="9">
        <v>3</v>
      </c>
      <c r="H5" s="9">
        <v>3</v>
      </c>
      <c r="I5" s="9">
        <v>3</v>
      </c>
      <c r="J5" s="9" t="s">
        <v>62</v>
      </c>
      <c r="K5" s="9" t="s">
        <v>63</v>
      </c>
      <c r="L5" s="9" t="s">
        <v>64</v>
      </c>
    </row>
    <row r="6" spans="1:12" ht="48" customHeight="1" x14ac:dyDescent="0.3">
      <c r="A6" s="10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40</v>
      </c>
      <c r="G6" s="10">
        <v>3</v>
      </c>
      <c r="H6" s="10">
        <v>3</v>
      </c>
      <c r="I6" s="10">
        <v>2</v>
      </c>
      <c r="J6" s="10" t="s">
        <v>70</v>
      </c>
      <c r="K6" s="10" t="s">
        <v>71</v>
      </c>
      <c r="L6" s="10" t="s">
        <v>72</v>
      </c>
    </row>
    <row r="7" spans="1:12" ht="48" customHeight="1" x14ac:dyDescent="0.3">
      <c r="A7" s="9" t="s">
        <v>73</v>
      </c>
      <c r="B7" s="9" t="s">
        <v>74</v>
      </c>
      <c r="C7" s="9" t="s">
        <v>75</v>
      </c>
      <c r="D7" s="9" t="s">
        <v>76</v>
      </c>
      <c r="E7" s="9" t="s">
        <v>61</v>
      </c>
      <c r="F7" s="9" t="s">
        <v>40</v>
      </c>
      <c r="G7" s="9">
        <v>3</v>
      </c>
      <c r="H7" s="9">
        <v>3</v>
      </c>
      <c r="I7" s="9">
        <v>3</v>
      </c>
      <c r="J7" s="9" t="s">
        <v>77</v>
      </c>
      <c r="K7" s="9" t="s">
        <v>78</v>
      </c>
      <c r="L7" s="9" t="s">
        <v>79</v>
      </c>
    </row>
    <row r="8" spans="1:12" ht="48" customHeight="1" x14ac:dyDescent="0.3">
      <c r="A8" s="10" t="s">
        <v>80</v>
      </c>
      <c r="B8" s="10" t="s">
        <v>81</v>
      </c>
      <c r="C8" s="10" t="s">
        <v>82</v>
      </c>
      <c r="D8" s="10" t="s">
        <v>83</v>
      </c>
      <c r="E8" s="10" t="s">
        <v>61</v>
      </c>
      <c r="F8" s="10" t="s">
        <v>40</v>
      </c>
      <c r="G8" s="10">
        <v>3</v>
      </c>
      <c r="H8" s="10">
        <v>3</v>
      </c>
      <c r="I8" s="10">
        <v>3</v>
      </c>
      <c r="J8" s="10" t="s">
        <v>84</v>
      </c>
      <c r="K8" s="10" t="s">
        <v>85</v>
      </c>
      <c r="L8" s="10" t="s">
        <v>86</v>
      </c>
    </row>
    <row r="9" spans="1:12" ht="48" customHeight="1" x14ac:dyDescent="0.3">
      <c r="A9" s="9" t="s">
        <v>87</v>
      </c>
      <c r="B9" s="9" t="s">
        <v>88</v>
      </c>
      <c r="C9" s="9" t="s">
        <v>89</v>
      </c>
      <c r="D9" s="9" t="s">
        <v>90</v>
      </c>
      <c r="E9" s="9" t="s">
        <v>69</v>
      </c>
      <c r="F9" s="9" t="s">
        <v>40</v>
      </c>
      <c r="G9" s="9">
        <v>3</v>
      </c>
      <c r="H9" s="9">
        <v>3</v>
      </c>
      <c r="I9" s="9">
        <v>3</v>
      </c>
      <c r="J9" s="9" t="s">
        <v>70</v>
      </c>
      <c r="K9" s="9" t="s">
        <v>91</v>
      </c>
      <c r="L9" s="9" t="s">
        <v>92</v>
      </c>
    </row>
    <row r="10" spans="1:12" ht="48" customHeight="1" x14ac:dyDescent="0.3">
      <c r="A10" s="10" t="s">
        <v>93</v>
      </c>
      <c r="B10" s="10" t="s">
        <v>94</v>
      </c>
      <c r="C10" s="10" t="s">
        <v>95</v>
      </c>
      <c r="D10" s="10" t="s">
        <v>96</v>
      </c>
      <c r="E10" s="10" t="s">
        <v>69</v>
      </c>
      <c r="F10" s="10" t="s">
        <v>40</v>
      </c>
      <c r="G10" s="10">
        <v>3</v>
      </c>
      <c r="H10" s="10">
        <v>3</v>
      </c>
      <c r="I10" s="10">
        <v>3</v>
      </c>
      <c r="J10" s="10" t="s">
        <v>97</v>
      </c>
      <c r="K10" s="10" t="s">
        <v>91</v>
      </c>
      <c r="L10" s="10" t="s">
        <v>98</v>
      </c>
    </row>
    <row r="11" spans="1:12" ht="48" customHeight="1" x14ac:dyDescent="0.3">
      <c r="A11" s="9" t="s">
        <v>99</v>
      </c>
      <c r="B11" s="9" t="s">
        <v>100</v>
      </c>
      <c r="C11" s="9" t="s">
        <v>101</v>
      </c>
      <c r="D11" s="9" t="s">
        <v>102</v>
      </c>
      <c r="E11" s="9" t="s">
        <v>69</v>
      </c>
      <c r="F11" s="9" t="s">
        <v>41</v>
      </c>
      <c r="G11" s="9">
        <v>2</v>
      </c>
      <c r="H11" s="9">
        <v>2</v>
      </c>
      <c r="I11" s="9">
        <v>2</v>
      </c>
      <c r="J11" s="9" t="s">
        <v>103</v>
      </c>
      <c r="K11" s="9" t="s">
        <v>104</v>
      </c>
      <c r="L11" s="9" t="s">
        <v>105</v>
      </c>
    </row>
    <row r="12" spans="1:12" ht="48" customHeight="1" x14ac:dyDescent="0.3">
      <c r="A12" s="10" t="s">
        <v>106</v>
      </c>
      <c r="B12" s="10" t="s">
        <v>107</v>
      </c>
      <c r="C12" s="10" t="s">
        <v>108</v>
      </c>
      <c r="D12" s="10" t="s">
        <v>109</v>
      </c>
      <c r="E12" s="10" t="s">
        <v>69</v>
      </c>
      <c r="F12" s="10" t="s">
        <v>40</v>
      </c>
      <c r="G12" s="10">
        <v>2</v>
      </c>
      <c r="H12" s="10">
        <v>3</v>
      </c>
      <c r="I12" s="10">
        <v>2</v>
      </c>
      <c r="J12" s="10" t="s">
        <v>110</v>
      </c>
      <c r="K12" s="10" t="s">
        <v>104</v>
      </c>
      <c r="L12" s="10" t="s">
        <v>111</v>
      </c>
    </row>
    <row r="13" spans="1:12" ht="48" customHeight="1" x14ac:dyDescent="0.3">
      <c r="A13" s="9" t="s">
        <v>112</v>
      </c>
      <c r="B13" s="9" t="s">
        <v>113</v>
      </c>
      <c r="C13" s="9" t="s">
        <v>114</v>
      </c>
      <c r="D13" s="9" t="s">
        <v>115</v>
      </c>
      <c r="E13" s="9" t="s">
        <v>116</v>
      </c>
      <c r="F13" s="9" t="s">
        <v>42</v>
      </c>
      <c r="G13" s="9">
        <v>2</v>
      </c>
      <c r="H13" s="9">
        <v>2</v>
      </c>
      <c r="I13" s="9">
        <v>1</v>
      </c>
      <c r="J13" s="9" t="s">
        <v>117</v>
      </c>
      <c r="K13" s="9" t="s">
        <v>118</v>
      </c>
      <c r="L13" s="9" t="s">
        <v>119</v>
      </c>
    </row>
    <row r="14" spans="1:12" ht="48" customHeight="1" x14ac:dyDescent="0.3">
      <c r="A14" s="10" t="s">
        <v>120</v>
      </c>
      <c r="B14" s="10" t="s">
        <v>121</v>
      </c>
      <c r="C14" s="10" t="s">
        <v>122</v>
      </c>
      <c r="D14" s="10" t="s">
        <v>123</v>
      </c>
      <c r="E14" s="10" t="s">
        <v>69</v>
      </c>
      <c r="F14" s="10" t="s">
        <v>40</v>
      </c>
      <c r="G14" s="10">
        <v>3</v>
      </c>
      <c r="H14" s="10">
        <v>3</v>
      </c>
      <c r="I14" s="10">
        <v>3</v>
      </c>
      <c r="J14" s="10" t="s">
        <v>124</v>
      </c>
      <c r="K14" s="10" t="s">
        <v>78</v>
      </c>
      <c r="L14" s="10" t="s">
        <v>125</v>
      </c>
    </row>
    <row r="15" spans="1:12" ht="48" customHeight="1" x14ac:dyDescent="0.3">
      <c r="A15" s="9" t="s">
        <v>126</v>
      </c>
      <c r="B15" s="9" t="s">
        <v>127</v>
      </c>
      <c r="C15" s="9" t="s">
        <v>128</v>
      </c>
      <c r="D15" s="9" t="s">
        <v>129</v>
      </c>
      <c r="E15" s="9" t="s">
        <v>130</v>
      </c>
      <c r="F15" s="9" t="s">
        <v>40</v>
      </c>
      <c r="G15" s="9">
        <v>3</v>
      </c>
      <c r="H15" s="9">
        <v>3</v>
      </c>
      <c r="I15" s="9">
        <v>3</v>
      </c>
      <c r="J15" s="9" t="s">
        <v>131</v>
      </c>
      <c r="K15" s="9" t="s">
        <v>132</v>
      </c>
      <c r="L15" s="9" t="s">
        <v>133</v>
      </c>
    </row>
    <row r="16" spans="1:12" ht="48" customHeight="1" x14ac:dyDescent="0.3">
      <c r="A16" s="10" t="s">
        <v>134</v>
      </c>
      <c r="B16" s="10" t="s">
        <v>135</v>
      </c>
      <c r="C16" s="10" t="s">
        <v>136</v>
      </c>
      <c r="D16" s="10" t="s">
        <v>137</v>
      </c>
      <c r="E16" s="10" t="s">
        <v>69</v>
      </c>
      <c r="F16" s="10" t="s">
        <v>40</v>
      </c>
      <c r="G16" s="10">
        <v>3</v>
      </c>
      <c r="H16" s="10">
        <v>3</v>
      </c>
      <c r="I16" s="10">
        <v>3</v>
      </c>
      <c r="J16" s="10" t="s">
        <v>138</v>
      </c>
      <c r="K16" s="10" t="s">
        <v>139</v>
      </c>
      <c r="L16" s="10" t="s">
        <v>140</v>
      </c>
    </row>
    <row r="17" spans="1:12" ht="48" customHeight="1" x14ac:dyDescent="0.3">
      <c r="A17" s="9" t="s">
        <v>141</v>
      </c>
      <c r="B17" s="9" t="s">
        <v>142</v>
      </c>
      <c r="C17" s="9" t="s">
        <v>143</v>
      </c>
      <c r="D17" s="9" t="s">
        <v>144</v>
      </c>
      <c r="E17" s="9" t="s">
        <v>61</v>
      </c>
      <c r="F17" s="9" t="s">
        <v>41</v>
      </c>
      <c r="G17" s="9">
        <v>3</v>
      </c>
      <c r="H17" s="9">
        <v>3</v>
      </c>
      <c r="I17" s="9">
        <v>2</v>
      </c>
      <c r="J17" s="9" t="s">
        <v>145</v>
      </c>
      <c r="K17" s="9" t="s">
        <v>146</v>
      </c>
      <c r="L17" s="9" t="s">
        <v>147</v>
      </c>
    </row>
    <row r="18" spans="1:12" ht="48" customHeight="1" x14ac:dyDescent="0.3">
      <c r="A18" s="10" t="s">
        <v>148</v>
      </c>
      <c r="B18" s="10" t="s">
        <v>149</v>
      </c>
      <c r="C18" s="10" t="s">
        <v>150</v>
      </c>
      <c r="D18" s="10" t="s">
        <v>151</v>
      </c>
      <c r="E18" s="10" t="s">
        <v>130</v>
      </c>
      <c r="F18" s="10" t="s">
        <v>40</v>
      </c>
      <c r="G18" s="10">
        <v>3</v>
      </c>
      <c r="H18" s="10">
        <v>3</v>
      </c>
      <c r="I18" s="10">
        <v>3</v>
      </c>
      <c r="J18" s="10" t="s">
        <v>131</v>
      </c>
      <c r="K18" s="10" t="s">
        <v>132</v>
      </c>
      <c r="L18" s="10" t="s">
        <v>152</v>
      </c>
    </row>
    <row r="19" spans="1:12" ht="48" customHeight="1" x14ac:dyDescent="0.3">
      <c r="A19" s="9" t="s">
        <v>153</v>
      </c>
      <c r="B19" s="9" t="s">
        <v>154</v>
      </c>
      <c r="C19" s="9" t="s">
        <v>155</v>
      </c>
      <c r="D19" s="9" t="s">
        <v>156</v>
      </c>
      <c r="E19" s="9" t="s">
        <v>69</v>
      </c>
      <c r="F19" s="9" t="s">
        <v>40</v>
      </c>
      <c r="G19" s="9">
        <v>3</v>
      </c>
      <c r="H19" s="9">
        <v>3</v>
      </c>
      <c r="I19" s="9">
        <v>3</v>
      </c>
      <c r="J19" s="9" t="s">
        <v>157</v>
      </c>
      <c r="K19" s="9" t="s">
        <v>158</v>
      </c>
      <c r="L19" s="9" t="s">
        <v>159</v>
      </c>
    </row>
    <row r="20" spans="1:12" ht="48" customHeight="1" x14ac:dyDescent="0.3">
      <c r="A20" s="10" t="s">
        <v>160</v>
      </c>
      <c r="B20" s="10" t="s">
        <v>161</v>
      </c>
      <c r="C20" s="10" t="s">
        <v>162</v>
      </c>
      <c r="D20" s="10" t="s">
        <v>163</v>
      </c>
      <c r="E20" s="10" t="s">
        <v>61</v>
      </c>
      <c r="F20" s="10" t="s">
        <v>40</v>
      </c>
      <c r="G20" s="10">
        <v>3</v>
      </c>
      <c r="H20" s="10">
        <v>3</v>
      </c>
      <c r="I20" s="10">
        <v>3</v>
      </c>
      <c r="J20" s="10" t="s">
        <v>164</v>
      </c>
      <c r="K20" s="10" t="s">
        <v>165</v>
      </c>
      <c r="L20" s="10" t="s">
        <v>166</v>
      </c>
    </row>
    <row r="21" spans="1:12" ht="48" customHeight="1" x14ac:dyDescent="0.3">
      <c r="A21" s="9" t="s">
        <v>167</v>
      </c>
      <c r="B21" s="9" t="s">
        <v>168</v>
      </c>
      <c r="C21" s="9" t="s">
        <v>169</v>
      </c>
      <c r="D21" s="9" t="s">
        <v>170</v>
      </c>
      <c r="E21" s="9" t="s">
        <v>69</v>
      </c>
      <c r="F21" s="9" t="s">
        <v>41</v>
      </c>
      <c r="G21" s="9">
        <v>2</v>
      </c>
      <c r="H21" s="9">
        <v>2</v>
      </c>
      <c r="I21" s="9">
        <v>2</v>
      </c>
      <c r="J21" s="9" t="s">
        <v>62</v>
      </c>
      <c r="K21" s="9" t="s">
        <v>171</v>
      </c>
      <c r="L21" s="9" t="s">
        <v>172</v>
      </c>
    </row>
    <row r="22" spans="1:12" ht="48" customHeight="1" x14ac:dyDescent="0.3">
      <c r="A22" s="10" t="s">
        <v>173</v>
      </c>
      <c r="B22" s="10" t="s">
        <v>174</v>
      </c>
      <c r="C22" s="10" t="s">
        <v>175</v>
      </c>
      <c r="D22" s="10" t="s">
        <v>176</v>
      </c>
      <c r="E22" s="10" t="s">
        <v>130</v>
      </c>
      <c r="F22" s="10" t="s">
        <v>41</v>
      </c>
      <c r="G22" s="10">
        <v>1</v>
      </c>
      <c r="H22" s="10">
        <v>1</v>
      </c>
      <c r="I22" s="10">
        <v>1</v>
      </c>
      <c r="J22" s="10" t="s">
        <v>177</v>
      </c>
      <c r="K22" s="10" t="s">
        <v>178</v>
      </c>
      <c r="L22" s="10" t="s">
        <v>179</v>
      </c>
    </row>
    <row r="23" spans="1:12" ht="48" customHeight="1" x14ac:dyDescent="0.3">
      <c r="A23" s="9" t="s">
        <v>180</v>
      </c>
      <c r="B23" s="9" t="s">
        <v>181</v>
      </c>
      <c r="C23" s="9" t="s">
        <v>182</v>
      </c>
      <c r="D23" s="9" t="s">
        <v>183</v>
      </c>
      <c r="E23" s="9" t="s">
        <v>130</v>
      </c>
      <c r="F23" s="9" t="s">
        <v>40</v>
      </c>
      <c r="G23" s="9">
        <v>2</v>
      </c>
      <c r="H23" s="9">
        <v>2</v>
      </c>
      <c r="I23" s="9">
        <v>2</v>
      </c>
      <c r="J23" s="9" t="s">
        <v>138</v>
      </c>
      <c r="K23" s="9" t="s">
        <v>184</v>
      </c>
      <c r="L23" s="9" t="s">
        <v>185</v>
      </c>
    </row>
    <row r="24" spans="1:12" ht="48" customHeight="1" x14ac:dyDescent="0.3">
      <c r="A24" s="10" t="s">
        <v>186</v>
      </c>
      <c r="B24" s="10" t="s">
        <v>187</v>
      </c>
      <c r="C24" s="10" t="s">
        <v>67</v>
      </c>
      <c r="D24" s="10" t="s">
        <v>188</v>
      </c>
      <c r="E24" s="10" t="s">
        <v>61</v>
      </c>
      <c r="F24" s="10" t="s">
        <v>40</v>
      </c>
      <c r="G24" s="10">
        <v>3</v>
      </c>
      <c r="H24" s="10">
        <v>3</v>
      </c>
      <c r="I24" s="10">
        <v>3</v>
      </c>
      <c r="J24" s="10" t="s">
        <v>70</v>
      </c>
      <c r="K24" s="10" t="s">
        <v>71</v>
      </c>
      <c r="L24" s="10" t="s">
        <v>189</v>
      </c>
    </row>
  </sheetData>
  <autoFilter ref="A4:L24" xr:uid="{00000000-0009-0000-0000-000002000000}"/>
  <mergeCells count="2">
    <mergeCell ref="A2:H2"/>
    <mergeCell ref="A1:H1"/>
  </mergeCell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O16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2" width="30" customWidth="1"/>
    <col min="3" max="3" width="12" customWidth="1"/>
    <col min="4" max="4" width="34" customWidth="1"/>
    <col min="5" max="5" width="42" customWidth="1"/>
    <col min="6" max="6" width="15" customWidth="1"/>
    <col min="7" max="7" width="12" customWidth="1"/>
    <col min="8" max="8" width="14" customWidth="1"/>
    <col min="9" max="9" width="15" customWidth="1"/>
    <col min="10" max="10" width="22" customWidth="1"/>
    <col min="11" max="11" width="12" customWidth="1"/>
    <col min="12" max="12" width="14" customWidth="1"/>
    <col min="13" max="13" width="22" customWidth="1"/>
    <col min="14" max="14" width="15" customWidth="1"/>
    <col min="15" max="15" width="48" customWidth="1"/>
  </cols>
  <sheetData>
    <row r="1" spans="1:15" ht="30" customHeight="1" x14ac:dyDescent="0.3">
      <c r="A1" s="17" t="s">
        <v>190</v>
      </c>
      <c r="B1" s="16"/>
      <c r="C1" s="16"/>
      <c r="D1" s="16"/>
      <c r="E1" s="16"/>
      <c r="F1" s="16"/>
      <c r="G1" s="16"/>
      <c r="H1" s="16"/>
    </row>
    <row r="2" spans="1:15" ht="32" customHeight="1" x14ac:dyDescent="0.3">
      <c r="A2" s="15" t="s">
        <v>191</v>
      </c>
      <c r="B2" s="16"/>
      <c r="C2" s="16"/>
      <c r="D2" s="16"/>
      <c r="E2" s="16"/>
      <c r="F2" s="16"/>
      <c r="G2" s="16"/>
      <c r="H2" s="16"/>
    </row>
    <row r="4" spans="1:15" ht="38" customHeight="1" x14ac:dyDescent="0.3">
      <c r="A4" s="8" t="s">
        <v>192</v>
      </c>
      <c r="B4" s="8" t="s">
        <v>193</v>
      </c>
      <c r="C4" s="8" t="s">
        <v>45</v>
      </c>
      <c r="D4" s="8" t="s">
        <v>194</v>
      </c>
      <c r="E4" s="8" t="s">
        <v>195</v>
      </c>
      <c r="F4" s="8" t="s">
        <v>196</v>
      </c>
      <c r="G4" s="8" t="s">
        <v>197</v>
      </c>
      <c r="H4" s="8" t="s">
        <v>198</v>
      </c>
      <c r="I4" s="8" t="s">
        <v>199</v>
      </c>
      <c r="J4" s="8" t="s">
        <v>200</v>
      </c>
      <c r="K4" s="8" t="s">
        <v>201</v>
      </c>
      <c r="L4" s="8" t="s">
        <v>202</v>
      </c>
      <c r="M4" s="8" t="s">
        <v>203</v>
      </c>
      <c r="N4" s="8" t="s">
        <v>204</v>
      </c>
      <c r="O4" s="8" t="s">
        <v>205</v>
      </c>
    </row>
    <row r="5" spans="1:15" ht="48" customHeight="1" x14ac:dyDescent="0.3">
      <c r="A5" s="9" t="s">
        <v>206</v>
      </c>
      <c r="B5" s="9" t="s">
        <v>207</v>
      </c>
      <c r="C5" s="9" t="s">
        <v>57</v>
      </c>
      <c r="D5" s="9" t="s">
        <v>208</v>
      </c>
      <c r="E5" s="9" t="s">
        <v>209</v>
      </c>
      <c r="F5" s="9">
        <v>4</v>
      </c>
      <c r="G5" s="9">
        <v>5</v>
      </c>
      <c r="H5" s="11">
        <f t="shared" ref="H5:H16" si="0">F5*G5</f>
        <v>20</v>
      </c>
      <c r="I5" s="9" t="str">
        <f t="shared" ref="I5:I16" si="1">IF(H5&gt;=17,"Critical",IF(H5&gt;=10,"High",IF(H5&gt;=5,"Medium","Low")))</f>
        <v>Critical</v>
      </c>
      <c r="J5" s="9" t="s">
        <v>210</v>
      </c>
      <c r="K5" s="9" t="s">
        <v>211</v>
      </c>
      <c r="L5" s="9" t="s">
        <v>212</v>
      </c>
      <c r="M5" s="9" t="s">
        <v>138</v>
      </c>
      <c r="N5" s="9" t="s">
        <v>213</v>
      </c>
      <c r="O5" s="9" t="s">
        <v>214</v>
      </c>
    </row>
    <row r="6" spans="1:15" ht="48" customHeight="1" x14ac:dyDescent="0.3">
      <c r="A6" s="10" t="s">
        <v>215</v>
      </c>
      <c r="B6" s="10" t="s">
        <v>216</v>
      </c>
      <c r="C6" s="10" t="s">
        <v>65</v>
      </c>
      <c r="D6" s="10" t="s">
        <v>217</v>
      </c>
      <c r="E6" s="10" t="s">
        <v>218</v>
      </c>
      <c r="F6" s="10">
        <v>4</v>
      </c>
      <c r="G6" s="10">
        <v>4</v>
      </c>
      <c r="H6" s="12">
        <f t="shared" si="0"/>
        <v>16</v>
      </c>
      <c r="I6" s="10" t="str">
        <f t="shared" si="1"/>
        <v>High</v>
      </c>
      <c r="J6" s="10" t="s">
        <v>219</v>
      </c>
      <c r="K6" s="10" t="s">
        <v>220</v>
      </c>
      <c r="L6" s="10" t="s">
        <v>221</v>
      </c>
      <c r="M6" s="10" t="s">
        <v>70</v>
      </c>
      <c r="N6" s="10" t="s">
        <v>213</v>
      </c>
      <c r="O6" s="10" t="s">
        <v>222</v>
      </c>
    </row>
    <row r="7" spans="1:15" ht="48" customHeight="1" x14ac:dyDescent="0.3">
      <c r="A7" s="9" t="s">
        <v>223</v>
      </c>
      <c r="B7" s="9" t="s">
        <v>224</v>
      </c>
      <c r="C7" s="9" t="s">
        <v>73</v>
      </c>
      <c r="D7" s="9" t="s">
        <v>225</v>
      </c>
      <c r="E7" s="9" t="s">
        <v>226</v>
      </c>
      <c r="F7" s="9">
        <v>3</v>
      </c>
      <c r="G7" s="9">
        <v>5</v>
      </c>
      <c r="H7" s="11">
        <f t="shared" si="0"/>
        <v>15</v>
      </c>
      <c r="I7" s="9" t="str">
        <f t="shared" si="1"/>
        <v>High</v>
      </c>
      <c r="J7" s="9" t="s">
        <v>227</v>
      </c>
      <c r="K7" s="9" t="s">
        <v>228</v>
      </c>
      <c r="L7" s="9" t="s">
        <v>229</v>
      </c>
      <c r="M7" s="9" t="s">
        <v>77</v>
      </c>
      <c r="N7" s="9" t="s">
        <v>213</v>
      </c>
      <c r="O7" s="9" t="s">
        <v>230</v>
      </c>
    </row>
    <row r="8" spans="1:15" ht="48" customHeight="1" x14ac:dyDescent="0.3">
      <c r="A8" s="10" t="s">
        <v>231</v>
      </c>
      <c r="B8" s="10" t="s">
        <v>232</v>
      </c>
      <c r="C8" s="10" t="s">
        <v>80</v>
      </c>
      <c r="D8" s="10" t="s">
        <v>233</v>
      </c>
      <c r="E8" s="10" t="s">
        <v>234</v>
      </c>
      <c r="F8" s="10">
        <v>3</v>
      </c>
      <c r="G8" s="10">
        <v>5</v>
      </c>
      <c r="H8" s="12">
        <f t="shared" si="0"/>
        <v>15</v>
      </c>
      <c r="I8" s="10" t="str">
        <f t="shared" si="1"/>
        <v>High</v>
      </c>
      <c r="J8" s="10" t="s">
        <v>235</v>
      </c>
      <c r="K8" s="10" t="s">
        <v>236</v>
      </c>
      <c r="L8" s="10" t="s">
        <v>237</v>
      </c>
      <c r="M8" s="10" t="s">
        <v>84</v>
      </c>
      <c r="N8" s="10" t="s">
        <v>213</v>
      </c>
      <c r="O8" s="10" t="s">
        <v>238</v>
      </c>
    </row>
    <row r="9" spans="1:15" ht="48" customHeight="1" x14ac:dyDescent="0.3">
      <c r="A9" s="9" t="s">
        <v>239</v>
      </c>
      <c r="B9" s="9" t="s">
        <v>240</v>
      </c>
      <c r="C9" s="9" t="s">
        <v>87</v>
      </c>
      <c r="D9" s="9" t="s">
        <v>241</v>
      </c>
      <c r="E9" s="9" t="s">
        <v>242</v>
      </c>
      <c r="F9" s="9">
        <v>3</v>
      </c>
      <c r="G9" s="9">
        <v>5</v>
      </c>
      <c r="H9" s="11">
        <f t="shared" si="0"/>
        <v>15</v>
      </c>
      <c r="I9" s="9" t="str">
        <f t="shared" si="1"/>
        <v>High</v>
      </c>
      <c r="J9" s="9" t="s">
        <v>243</v>
      </c>
      <c r="K9" s="9" t="s">
        <v>244</v>
      </c>
      <c r="L9" s="9" t="s">
        <v>245</v>
      </c>
      <c r="M9" s="9" t="s">
        <v>70</v>
      </c>
      <c r="N9" s="9" t="s">
        <v>213</v>
      </c>
      <c r="O9" s="9" t="s">
        <v>246</v>
      </c>
    </row>
    <row r="10" spans="1:15" ht="48" customHeight="1" x14ac:dyDescent="0.3">
      <c r="A10" s="10" t="s">
        <v>247</v>
      </c>
      <c r="B10" s="10" t="s">
        <v>248</v>
      </c>
      <c r="C10" s="10" t="s">
        <v>106</v>
      </c>
      <c r="D10" s="10" t="s">
        <v>249</v>
      </c>
      <c r="E10" s="10" t="s">
        <v>250</v>
      </c>
      <c r="F10" s="10">
        <v>3</v>
      </c>
      <c r="G10" s="10">
        <v>4</v>
      </c>
      <c r="H10" s="12">
        <f t="shared" si="0"/>
        <v>12</v>
      </c>
      <c r="I10" s="10" t="str">
        <f t="shared" si="1"/>
        <v>High</v>
      </c>
      <c r="J10" s="10" t="s">
        <v>251</v>
      </c>
      <c r="K10" s="10" t="s">
        <v>252</v>
      </c>
      <c r="L10" s="10" t="s">
        <v>253</v>
      </c>
      <c r="M10" s="10" t="s">
        <v>70</v>
      </c>
      <c r="N10" s="10" t="s">
        <v>213</v>
      </c>
      <c r="O10" s="10" t="s">
        <v>254</v>
      </c>
    </row>
    <row r="11" spans="1:15" ht="48" customHeight="1" x14ac:dyDescent="0.3">
      <c r="A11" s="9" t="s">
        <v>255</v>
      </c>
      <c r="B11" s="9" t="s">
        <v>256</v>
      </c>
      <c r="C11" s="9" t="s">
        <v>99</v>
      </c>
      <c r="D11" s="9" t="s">
        <v>257</v>
      </c>
      <c r="E11" s="9" t="s">
        <v>258</v>
      </c>
      <c r="F11" s="9">
        <v>4</v>
      </c>
      <c r="G11" s="9">
        <v>3</v>
      </c>
      <c r="H11" s="11">
        <f t="shared" si="0"/>
        <v>12</v>
      </c>
      <c r="I11" s="9" t="str">
        <f t="shared" si="1"/>
        <v>High</v>
      </c>
      <c r="J11" s="9" t="s">
        <v>259</v>
      </c>
      <c r="K11" s="9" t="s">
        <v>260</v>
      </c>
      <c r="L11" s="9" t="s">
        <v>261</v>
      </c>
      <c r="M11" s="9" t="s">
        <v>70</v>
      </c>
      <c r="N11" s="9" t="s">
        <v>213</v>
      </c>
      <c r="O11" s="9" t="s">
        <v>262</v>
      </c>
    </row>
    <row r="12" spans="1:15" ht="48" customHeight="1" x14ac:dyDescent="0.3">
      <c r="A12" s="10" t="s">
        <v>263</v>
      </c>
      <c r="B12" s="10" t="s">
        <v>264</v>
      </c>
      <c r="C12" s="10" t="s">
        <v>153</v>
      </c>
      <c r="D12" s="10" t="s">
        <v>265</v>
      </c>
      <c r="E12" s="10" t="s">
        <v>266</v>
      </c>
      <c r="F12" s="10">
        <v>3</v>
      </c>
      <c r="G12" s="10">
        <v>5</v>
      </c>
      <c r="H12" s="12">
        <f t="shared" si="0"/>
        <v>15</v>
      </c>
      <c r="I12" s="10" t="str">
        <f t="shared" si="1"/>
        <v>High</v>
      </c>
      <c r="J12" s="10" t="s">
        <v>267</v>
      </c>
      <c r="K12" s="10" t="s">
        <v>268</v>
      </c>
      <c r="L12" s="10" t="s">
        <v>269</v>
      </c>
      <c r="M12" s="10" t="s">
        <v>157</v>
      </c>
      <c r="N12" s="10" t="s">
        <v>213</v>
      </c>
      <c r="O12" s="10" t="s">
        <v>270</v>
      </c>
    </row>
    <row r="13" spans="1:15" ht="48" customHeight="1" x14ac:dyDescent="0.3">
      <c r="A13" s="9" t="s">
        <v>271</v>
      </c>
      <c r="B13" s="9" t="s">
        <v>272</v>
      </c>
      <c r="C13" s="9" t="s">
        <v>160</v>
      </c>
      <c r="D13" s="9" t="s">
        <v>273</v>
      </c>
      <c r="E13" s="9" t="s">
        <v>274</v>
      </c>
      <c r="F13" s="9">
        <v>3</v>
      </c>
      <c r="G13" s="9">
        <v>5</v>
      </c>
      <c r="H13" s="11">
        <f t="shared" si="0"/>
        <v>15</v>
      </c>
      <c r="I13" s="9" t="str">
        <f t="shared" si="1"/>
        <v>High</v>
      </c>
      <c r="J13" s="9" t="s">
        <v>275</v>
      </c>
      <c r="K13" s="9" t="s">
        <v>276</v>
      </c>
      <c r="L13" s="9" t="s">
        <v>277</v>
      </c>
      <c r="M13" s="9" t="s">
        <v>164</v>
      </c>
      <c r="N13" s="9" t="s">
        <v>213</v>
      </c>
      <c r="O13" s="9" t="s">
        <v>278</v>
      </c>
    </row>
    <row r="14" spans="1:15" ht="48" customHeight="1" x14ac:dyDescent="0.3">
      <c r="A14" s="10" t="s">
        <v>279</v>
      </c>
      <c r="B14" s="10" t="s">
        <v>280</v>
      </c>
      <c r="C14" s="10" t="s">
        <v>112</v>
      </c>
      <c r="D14" s="10" t="s">
        <v>281</v>
      </c>
      <c r="E14" s="10" t="s">
        <v>282</v>
      </c>
      <c r="F14" s="10">
        <v>2</v>
      </c>
      <c r="G14" s="10">
        <v>2</v>
      </c>
      <c r="H14" s="12">
        <f t="shared" si="0"/>
        <v>4</v>
      </c>
      <c r="I14" s="10" t="str">
        <f t="shared" si="1"/>
        <v>Low</v>
      </c>
      <c r="J14" s="10" t="s">
        <v>283</v>
      </c>
      <c r="K14" s="10"/>
      <c r="L14" s="10" t="s">
        <v>284</v>
      </c>
      <c r="M14" s="10" t="s">
        <v>117</v>
      </c>
      <c r="N14" s="10" t="s">
        <v>285</v>
      </c>
      <c r="O14" s="10" t="s">
        <v>286</v>
      </c>
    </row>
    <row r="15" spans="1:15" ht="48" customHeight="1" x14ac:dyDescent="0.3">
      <c r="A15" s="9" t="s">
        <v>287</v>
      </c>
      <c r="B15" s="9" t="s">
        <v>288</v>
      </c>
      <c r="C15" s="9" t="s">
        <v>186</v>
      </c>
      <c r="D15" s="9" t="s">
        <v>289</v>
      </c>
      <c r="E15" s="9" t="s">
        <v>290</v>
      </c>
      <c r="F15" s="9">
        <v>3</v>
      </c>
      <c r="G15" s="9">
        <v>5</v>
      </c>
      <c r="H15" s="11">
        <f t="shared" si="0"/>
        <v>15</v>
      </c>
      <c r="I15" s="9" t="str">
        <f t="shared" si="1"/>
        <v>High</v>
      </c>
      <c r="J15" s="9" t="s">
        <v>291</v>
      </c>
      <c r="K15" s="9" t="s">
        <v>236</v>
      </c>
      <c r="L15" s="9" t="s">
        <v>292</v>
      </c>
      <c r="M15" s="9" t="s">
        <v>70</v>
      </c>
      <c r="N15" s="9" t="s">
        <v>213</v>
      </c>
      <c r="O15" s="9" t="s">
        <v>293</v>
      </c>
    </row>
    <row r="16" spans="1:15" ht="48" customHeight="1" x14ac:dyDescent="0.3">
      <c r="A16" s="10" t="s">
        <v>294</v>
      </c>
      <c r="B16" s="10" t="s">
        <v>295</v>
      </c>
      <c r="C16" s="10" t="s">
        <v>134</v>
      </c>
      <c r="D16" s="10" t="s">
        <v>296</v>
      </c>
      <c r="E16" s="10" t="s">
        <v>297</v>
      </c>
      <c r="F16" s="10">
        <v>3</v>
      </c>
      <c r="G16" s="10">
        <v>4</v>
      </c>
      <c r="H16" s="12">
        <f t="shared" si="0"/>
        <v>12</v>
      </c>
      <c r="I16" s="10" t="str">
        <f t="shared" si="1"/>
        <v>High</v>
      </c>
      <c r="J16" s="10" t="s">
        <v>298</v>
      </c>
      <c r="K16" s="10" t="s">
        <v>252</v>
      </c>
      <c r="L16" s="10" t="s">
        <v>299</v>
      </c>
      <c r="M16" s="10" t="s">
        <v>138</v>
      </c>
      <c r="N16" s="10" t="s">
        <v>213</v>
      </c>
      <c r="O16" s="10" t="s">
        <v>300</v>
      </c>
    </row>
  </sheetData>
  <autoFilter ref="A4:O16" xr:uid="{00000000-0009-0000-0000-000003000000}"/>
  <mergeCells count="2">
    <mergeCell ref="A2:H2"/>
    <mergeCell ref="A1:H1"/>
  </mergeCells>
  <conditionalFormatting sqref="H5:H16">
    <cfRule type="colorScale" priority="1">
      <colorScale>
        <cfvo type="num" val="1"/>
        <cfvo type="num" val="9"/>
        <cfvo type="num" val="25"/>
        <color rgb="FF63BE7B"/>
        <color rgb="FFFFEB84"/>
        <color rgb="FFF8696B"/>
      </colorScale>
    </cfRule>
  </conditionalFormatting>
  <pageMargins left="0.25" right="0.2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K17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2" width="34" customWidth="1"/>
    <col min="3" max="3" width="27" customWidth="1"/>
    <col min="4" max="5" width="40" customWidth="1"/>
    <col min="6" max="6" width="24" customWidth="1"/>
    <col min="7" max="7" width="22" customWidth="1"/>
    <col min="8" max="8" width="42" customWidth="1"/>
    <col min="9" max="9" width="24" customWidth="1"/>
    <col min="10" max="10" width="22" customWidth="1"/>
    <col min="11" max="11" width="48" customWidth="1"/>
  </cols>
  <sheetData>
    <row r="1" spans="1:11" ht="30" customHeight="1" x14ac:dyDescent="0.3">
      <c r="A1" s="17" t="s">
        <v>301</v>
      </c>
      <c r="B1" s="16"/>
      <c r="C1" s="16"/>
      <c r="D1" s="16"/>
      <c r="E1" s="16"/>
      <c r="F1" s="16"/>
      <c r="G1" s="16"/>
      <c r="H1" s="16"/>
    </row>
    <row r="2" spans="1:11" ht="32" customHeight="1" x14ac:dyDescent="0.3">
      <c r="A2" s="15" t="s">
        <v>302</v>
      </c>
      <c r="B2" s="16"/>
      <c r="C2" s="16"/>
      <c r="D2" s="16"/>
      <c r="E2" s="16"/>
      <c r="F2" s="16"/>
      <c r="G2" s="16"/>
      <c r="H2" s="16"/>
    </row>
    <row r="4" spans="1:11" ht="38" customHeight="1" x14ac:dyDescent="0.3">
      <c r="A4" s="8" t="s">
        <v>303</v>
      </c>
      <c r="B4" s="8" t="s">
        <v>304</v>
      </c>
      <c r="C4" s="8" t="s">
        <v>305</v>
      </c>
      <c r="D4" s="8" t="s">
        <v>306</v>
      </c>
      <c r="E4" s="8" t="s">
        <v>307</v>
      </c>
      <c r="F4" s="8" t="s">
        <v>308</v>
      </c>
      <c r="G4" s="8" t="s">
        <v>309</v>
      </c>
      <c r="H4" s="8" t="s">
        <v>310</v>
      </c>
      <c r="I4" s="8" t="s">
        <v>311</v>
      </c>
      <c r="J4" s="8" t="s">
        <v>312</v>
      </c>
      <c r="K4" s="8" t="s">
        <v>205</v>
      </c>
    </row>
    <row r="5" spans="1:11" ht="48" customHeight="1" x14ac:dyDescent="0.3">
      <c r="A5" s="9" t="s">
        <v>313</v>
      </c>
      <c r="B5" s="9" t="s">
        <v>314</v>
      </c>
      <c r="C5" s="9" t="s">
        <v>57</v>
      </c>
      <c r="D5" s="9" t="s">
        <v>315</v>
      </c>
      <c r="E5" s="9" t="s">
        <v>316</v>
      </c>
      <c r="F5" s="9" t="s">
        <v>317</v>
      </c>
      <c r="G5" s="9" t="s">
        <v>318</v>
      </c>
      <c r="H5" s="9" t="s">
        <v>319</v>
      </c>
      <c r="I5" s="9" t="s">
        <v>138</v>
      </c>
      <c r="J5" s="9" t="s">
        <v>211</v>
      </c>
      <c r="K5" s="9" t="s">
        <v>320</v>
      </c>
    </row>
    <row r="6" spans="1:11" ht="48" customHeight="1" x14ac:dyDescent="0.3">
      <c r="A6" s="10" t="s">
        <v>321</v>
      </c>
      <c r="B6" s="10" t="s">
        <v>322</v>
      </c>
      <c r="C6" s="10" t="s">
        <v>323</v>
      </c>
      <c r="D6" s="10" t="s">
        <v>324</v>
      </c>
      <c r="E6" s="10" t="s">
        <v>325</v>
      </c>
      <c r="F6" s="10" t="s">
        <v>326</v>
      </c>
      <c r="G6" s="10" t="s">
        <v>327</v>
      </c>
      <c r="H6" s="10" t="s">
        <v>328</v>
      </c>
      <c r="I6" s="10" t="s">
        <v>70</v>
      </c>
      <c r="J6" s="10" t="s">
        <v>329</v>
      </c>
      <c r="K6" s="10" t="s">
        <v>330</v>
      </c>
    </row>
    <row r="7" spans="1:11" ht="48" customHeight="1" x14ac:dyDescent="0.3">
      <c r="A7" s="9" t="s">
        <v>219</v>
      </c>
      <c r="B7" s="9" t="s">
        <v>331</v>
      </c>
      <c r="C7" s="9" t="s">
        <v>332</v>
      </c>
      <c r="D7" s="9" t="s">
        <v>333</v>
      </c>
      <c r="E7" s="9" t="s">
        <v>334</v>
      </c>
      <c r="F7" s="9" t="s">
        <v>317</v>
      </c>
      <c r="G7" s="9" t="s">
        <v>327</v>
      </c>
      <c r="H7" s="9" t="s">
        <v>335</v>
      </c>
      <c r="I7" s="9" t="s">
        <v>70</v>
      </c>
      <c r="J7" s="9" t="s">
        <v>336</v>
      </c>
      <c r="K7" s="9" t="s">
        <v>337</v>
      </c>
    </row>
    <row r="8" spans="1:11" ht="48" customHeight="1" x14ac:dyDescent="0.3">
      <c r="A8" s="10" t="s">
        <v>338</v>
      </c>
      <c r="B8" s="10" t="s">
        <v>339</v>
      </c>
      <c r="C8" s="10" t="s">
        <v>73</v>
      </c>
      <c r="D8" s="10" t="s">
        <v>340</v>
      </c>
      <c r="E8" s="10" t="s">
        <v>341</v>
      </c>
      <c r="F8" s="10" t="s">
        <v>317</v>
      </c>
      <c r="G8" s="10" t="s">
        <v>327</v>
      </c>
      <c r="H8" s="10" t="s">
        <v>342</v>
      </c>
      <c r="I8" s="10" t="s">
        <v>343</v>
      </c>
      <c r="J8" s="10" t="s">
        <v>228</v>
      </c>
      <c r="K8" s="10"/>
    </row>
    <row r="9" spans="1:11" ht="48" customHeight="1" x14ac:dyDescent="0.3">
      <c r="A9" s="9" t="s">
        <v>344</v>
      </c>
      <c r="B9" s="9" t="s">
        <v>345</v>
      </c>
      <c r="C9" s="9" t="s">
        <v>346</v>
      </c>
      <c r="D9" s="9" t="s">
        <v>347</v>
      </c>
      <c r="E9" s="9" t="s">
        <v>348</v>
      </c>
      <c r="F9" s="9" t="s">
        <v>326</v>
      </c>
      <c r="G9" s="9" t="s">
        <v>318</v>
      </c>
      <c r="H9" s="9" t="s">
        <v>349</v>
      </c>
      <c r="I9" s="9" t="s">
        <v>97</v>
      </c>
      <c r="J9" s="9" t="s">
        <v>350</v>
      </c>
      <c r="K9" s="9"/>
    </row>
    <row r="10" spans="1:11" ht="48" customHeight="1" x14ac:dyDescent="0.3">
      <c r="A10" s="10" t="s">
        <v>351</v>
      </c>
      <c r="B10" s="10" t="s">
        <v>352</v>
      </c>
      <c r="C10" s="10" t="s">
        <v>353</v>
      </c>
      <c r="D10" s="10" t="s">
        <v>354</v>
      </c>
      <c r="E10" s="10" t="s">
        <v>355</v>
      </c>
      <c r="F10" s="10" t="s">
        <v>317</v>
      </c>
      <c r="G10" s="10" t="s">
        <v>327</v>
      </c>
      <c r="H10" s="10" t="s">
        <v>356</v>
      </c>
      <c r="I10" s="10" t="s">
        <v>138</v>
      </c>
      <c r="J10" s="10" t="s">
        <v>357</v>
      </c>
      <c r="K10" s="10"/>
    </row>
    <row r="11" spans="1:11" ht="48" customHeight="1" x14ac:dyDescent="0.3">
      <c r="A11" s="9" t="s">
        <v>243</v>
      </c>
      <c r="B11" s="9" t="s">
        <v>358</v>
      </c>
      <c r="C11" s="9" t="s">
        <v>87</v>
      </c>
      <c r="D11" s="9" t="s">
        <v>359</v>
      </c>
      <c r="E11" s="9" t="s">
        <v>360</v>
      </c>
      <c r="F11" s="9" t="s">
        <v>361</v>
      </c>
      <c r="G11" s="9" t="s">
        <v>327</v>
      </c>
      <c r="H11" s="9" t="s">
        <v>362</v>
      </c>
      <c r="I11" s="9" t="s">
        <v>70</v>
      </c>
      <c r="J11" s="9" t="s">
        <v>244</v>
      </c>
      <c r="K11" s="9"/>
    </row>
    <row r="12" spans="1:11" ht="48" customHeight="1" x14ac:dyDescent="0.3">
      <c r="A12" s="10" t="s">
        <v>363</v>
      </c>
      <c r="B12" s="10" t="s">
        <v>364</v>
      </c>
      <c r="C12" s="10" t="s">
        <v>106</v>
      </c>
      <c r="D12" s="10" t="s">
        <v>365</v>
      </c>
      <c r="E12" s="10" t="s">
        <v>366</v>
      </c>
      <c r="F12" s="10" t="s">
        <v>317</v>
      </c>
      <c r="G12" s="10" t="s">
        <v>327</v>
      </c>
      <c r="H12" s="10" t="s">
        <v>367</v>
      </c>
      <c r="I12" s="10" t="s">
        <v>70</v>
      </c>
      <c r="J12" s="10" t="s">
        <v>252</v>
      </c>
      <c r="K12" s="10"/>
    </row>
    <row r="13" spans="1:11" ht="48" customHeight="1" x14ac:dyDescent="0.3">
      <c r="A13" s="9" t="s">
        <v>368</v>
      </c>
      <c r="B13" s="9" t="s">
        <v>369</v>
      </c>
      <c r="C13" s="9" t="s">
        <v>370</v>
      </c>
      <c r="D13" s="9" t="s">
        <v>371</v>
      </c>
      <c r="E13" s="9" t="s">
        <v>372</v>
      </c>
      <c r="F13" s="9" t="s">
        <v>317</v>
      </c>
      <c r="G13" s="9" t="s">
        <v>318</v>
      </c>
      <c r="H13" s="9" t="s">
        <v>373</v>
      </c>
      <c r="I13" s="9" t="s">
        <v>70</v>
      </c>
      <c r="J13" s="9" t="s">
        <v>374</v>
      </c>
      <c r="K13" s="9"/>
    </row>
    <row r="14" spans="1:11" ht="48" customHeight="1" x14ac:dyDescent="0.3">
      <c r="A14" s="10" t="s">
        <v>375</v>
      </c>
      <c r="B14" s="10" t="s">
        <v>376</v>
      </c>
      <c r="C14" s="10" t="s">
        <v>99</v>
      </c>
      <c r="D14" s="10" t="s">
        <v>377</v>
      </c>
      <c r="E14" s="10" t="s">
        <v>378</v>
      </c>
      <c r="F14" s="10" t="s">
        <v>379</v>
      </c>
      <c r="G14" s="10" t="s">
        <v>327</v>
      </c>
      <c r="H14" s="10" t="s">
        <v>380</v>
      </c>
      <c r="I14" s="10" t="s">
        <v>70</v>
      </c>
      <c r="J14" s="10" t="s">
        <v>260</v>
      </c>
      <c r="K14" s="10"/>
    </row>
    <row r="15" spans="1:11" ht="48" customHeight="1" x14ac:dyDescent="0.3">
      <c r="A15" s="9" t="s">
        <v>381</v>
      </c>
      <c r="B15" s="9" t="s">
        <v>382</v>
      </c>
      <c r="C15" s="9" t="s">
        <v>153</v>
      </c>
      <c r="D15" s="9" t="s">
        <v>383</v>
      </c>
      <c r="E15" s="9" t="s">
        <v>384</v>
      </c>
      <c r="F15" s="9" t="s">
        <v>317</v>
      </c>
      <c r="G15" s="9" t="s">
        <v>327</v>
      </c>
      <c r="H15" s="9" t="s">
        <v>385</v>
      </c>
      <c r="I15" s="9" t="s">
        <v>157</v>
      </c>
      <c r="J15" s="9" t="s">
        <v>268</v>
      </c>
      <c r="K15" s="9"/>
    </row>
    <row r="16" spans="1:11" ht="48" customHeight="1" x14ac:dyDescent="0.3">
      <c r="A16" s="10" t="s">
        <v>275</v>
      </c>
      <c r="B16" s="10" t="s">
        <v>386</v>
      </c>
      <c r="C16" s="10" t="s">
        <v>160</v>
      </c>
      <c r="D16" s="10" t="s">
        <v>387</v>
      </c>
      <c r="E16" s="10" t="s">
        <v>388</v>
      </c>
      <c r="F16" s="10" t="s">
        <v>389</v>
      </c>
      <c r="G16" s="10" t="s">
        <v>327</v>
      </c>
      <c r="H16" s="10" t="s">
        <v>390</v>
      </c>
      <c r="I16" s="10" t="s">
        <v>164</v>
      </c>
      <c r="J16" s="10" t="s">
        <v>276</v>
      </c>
      <c r="K16" s="10"/>
    </row>
    <row r="17" spans="1:11" ht="48" customHeight="1" x14ac:dyDescent="0.3">
      <c r="A17" s="9" t="s">
        <v>391</v>
      </c>
      <c r="B17" s="9" t="s">
        <v>392</v>
      </c>
      <c r="C17" s="9" t="s">
        <v>393</v>
      </c>
      <c r="D17" s="9" t="s">
        <v>394</v>
      </c>
      <c r="E17" s="9" t="s">
        <v>395</v>
      </c>
      <c r="F17" s="9" t="s">
        <v>396</v>
      </c>
      <c r="G17" s="9" t="s">
        <v>318</v>
      </c>
      <c r="H17" s="9" t="s">
        <v>397</v>
      </c>
      <c r="I17" s="9" t="s">
        <v>138</v>
      </c>
      <c r="J17" s="9" t="s">
        <v>252</v>
      </c>
      <c r="K17" s="9"/>
    </row>
  </sheetData>
  <autoFilter ref="A4:K17" xr:uid="{00000000-0009-0000-0000-000004000000}"/>
  <mergeCells count="2">
    <mergeCell ref="A2:H2"/>
    <mergeCell ref="A1:H1"/>
  </mergeCells>
  <dataValidations count="1">
    <dataValidation type="list" allowBlank="1" errorTitle="Invalid entry" error="Choose a value from the list." sqref="G5:G17" xr:uid="{00000000-0002-0000-0400-000000000000}">
      <formula1>"Implemented,Partially evidenced,Not verified,Not implemented"</formula1>
    </dataValidation>
  </dataValidations>
  <pageMargins left="0.25" right="0.2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K14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2" width="34" customWidth="1"/>
    <col min="3" max="3" width="22" customWidth="1"/>
    <col min="4" max="4" width="25" customWidth="1"/>
    <col min="5" max="5" width="46" customWidth="1"/>
    <col min="6" max="6" width="28" customWidth="1"/>
    <col min="7" max="8" width="14" customWidth="1"/>
    <col min="9" max="9" width="24" customWidth="1"/>
    <col min="10" max="10" width="52" customWidth="1"/>
    <col min="11" max="11" width="16" customWidth="1"/>
  </cols>
  <sheetData>
    <row r="1" spans="1:11" ht="30" customHeight="1" x14ac:dyDescent="0.3">
      <c r="A1" s="17" t="s">
        <v>398</v>
      </c>
      <c r="B1" s="16"/>
      <c r="C1" s="16"/>
      <c r="D1" s="16"/>
      <c r="E1" s="16"/>
      <c r="F1" s="16"/>
      <c r="G1" s="16"/>
      <c r="H1" s="16"/>
    </row>
    <row r="2" spans="1:11" ht="32" customHeight="1" x14ac:dyDescent="0.3">
      <c r="A2" s="15" t="s">
        <v>399</v>
      </c>
      <c r="B2" s="16"/>
      <c r="C2" s="16"/>
      <c r="D2" s="16"/>
      <c r="E2" s="16"/>
      <c r="F2" s="16"/>
      <c r="G2" s="16"/>
      <c r="H2" s="16"/>
    </row>
    <row r="4" spans="1:11" ht="38" customHeight="1" x14ac:dyDescent="0.3">
      <c r="A4" s="8" t="s">
        <v>201</v>
      </c>
      <c r="B4" s="8" t="s">
        <v>400</v>
      </c>
      <c r="C4" s="8" t="s">
        <v>305</v>
      </c>
      <c r="D4" s="8" t="s">
        <v>401</v>
      </c>
      <c r="E4" s="8" t="s">
        <v>402</v>
      </c>
      <c r="F4" s="8" t="s">
        <v>403</v>
      </c>
      <c r="G4" s="8" t="s">
        <v>404</v>
      </c>
      <c r="H4" s="8" t="s">
        <v>202</v>
      </c>
      <c r="I4" s="8" t="s">
        <v>405</v>
      </c>
      <c r="J4" s="8" t="s">
        <v>406</v>
      </c>
      <c r="K4" s="8" t="s">
        <v>407</v>
      </c>
    </row>
    <row r="5" spans="1:11" ht="48" customHeight="1" x14ac:dyDescent="0.3">
      <c r="A5" s="9" t="s">
        <v>211</v>
      </c>
      <c r="B5" s="9" t="s">
        <v>408</v>
      </c>
      <c r="C5" s="9" t="s">
        <v>57</v>
      </c>
      <c r="D5" s="9" t="s">
        <v>210</v>
      </c>
      <c r="E5" s="9" t="s">
        <v>409</v>
      </c>
      <c r="F5" s="9" t="s">
        <v>410</v>
      </c>
      <c r="G5" s="9" t="s">
        <v>40</v>
      </c>
      <c r="H5" s="9" t="s">
        <v>212</v>
      </c>
      <c r="I5" s="9" t="s">
        <v>138</v>
      </c>
      <c r="J5" s="9" t="s">
        <v>411</v>
      </c>
      <c r="K5" s="9" t="s">
        <v>412</v>
      </c>
    </row>
    <row r="6" spans="1:11" ht="48" customHeight="1" x14ac:dyDescent="0.3">
      <c r="A6" s="10" t="s">
        <v>220</v>
      </c>
      <c r="B6" s="10" t="s">
        <v>413</v>
      </c>
      <c r="C6" s="10" t="s">
        <v>65</v>
      </c>
      <c r="D6" s="10" t="s">
        <v>219</v>
      </c>
      <c r="E6" s="10" t="s">
        <v>414</v>
      </c>
      <c r="F6" s="10" t="s">
        <v>327</v>
      </c>
      <c r="G6" s="10" t="s">
        <v>40</v>
      </c>
      <c r="H6" s="10" t="s">
        <v>221</v>
      </c>
      <c r="I6" s="10" t="s">
        <v>70</v>
      </c>
      <c r="J6" s="10" t="s">
        <v>415</v>
      </c>
      <c r="K6" s="10" t="s">
        <v>412</v>
      </c>
    </row>
    <row r="7" spans="1:11" ht="48" customHeight="1" x14ac:dyDescent="0.3">
      <c r="A7" s="9" t="s">
        <v>228</v>
      </c>
      <c r="B7" s="9" t="s">
        <v>416</v>
      </c>
      <c r="C7" s="9" t="s">
        <v>73</v>
      </c>
      <c r="D7" s="9" t="s">
        <v>227</v>
      </c>
      <c r="E7" s="9" t="s">
        <v>417</v>
      </c>
      <c r="F7" s="9" t="s">
        <v>410</v>
      </c>
      <c r="G7" s="9" t="s">
        <v>40</v>
      </c>
      <c r="H7" s="9" t="s">
        <v>229</v>
      </c>
      <c r="I7" s="9" t="s">
        <v>77</v>
      </c>
      <c r="J7" s="9" t="s">
        <v>418</v>
      </c>
      <c r="K7" s="9" t="s">
        <v>412</v>
      </c>
    </row>
    <row r="8" spans="1:11" ht="48" customHeight="1" x14ac:dyDescent="0.3">
      <c r="A8" s="10" t="s">
        <v>236</v>
      </c>
      <c r="B8" s="10" t="s">
        <v>419</v>
      </c>
      <c r="C8" s="10" t="s">
        <v>420</v>
      </c>
      <c r="D8" s="10" t="s">
        <v>235</v>
      </c>
      <c r="E8" s="10" t="s">
        <v>421</v>
      </c>
      <c r="F8" s="10" t="s">
        <v>327</v>
      </c>
      <c r="G8" s="10" t="s">
        <v>40</v>
      </c>
      <c r="H8" s="10" t="s">
        <v>237</v>
      </c>
      <c r="I8" s="10" t="s">
        <v>70</v>
      </c>
      <c r="J8" s="10" t="s">
        <v>422</v>
      </c>
      <c r="K8" s="10" t="s">
        <v>412</v>
      </c>
    </row>
    <row r="9" spans="1:11" ht="48" customHeight="1" x14ac:dyDescent="0.3">
      <c r="A9" s="9" t="s">
        <v>244</v>
      </c>
      <c r="B9" s="9" t="s">
        <v>423</v>
      </c>
      <c r="C9" s="9" t="s">
        <v>87</v>
      </c>
      <c r="D9" s="9" t="s">
        <v>243</v>
      </c>
      <c r="E9" s="9" t="s">
        <v>424</v>
      </c>
      <c r="F9" s="9" t="s">
        <v>327</v>
      </c>
      <c r="G9" s="9" t="s">
        <v>40</v>
      </c>
      <c r="H9" s="9" t="s">
        <v>245</v>
      </c>
      <c r="I9" s="9" t="s">
        <v>70</v>
      </c>
      <c r="J9" s="9" t="s">
        <v>425</v>
      </c>
      <c r="K9" s="9" t="s">
        <v>412</v>
      </c>
    </row>
    <row r="10" spans="1:11" ht="48" customHeight="1" x14ac:dyDescent="0.3">
      <c r="A10" s="10" t="s">
        <v>252</v>
      </c>
      <c r="B10" s="10" t="s">
        <v>426</v>
      </c>
      <c r="C10" s="10" t="s">
        <v>427</v>
      </c>
      <c r="D10" s="10" t="s">
        <v>428</v>
      </c>
      <c r="E10" s="10" t="s">
        <v>429</v>
      </c>
      <c r="F10" s="10" t="s">
        <v>327</v>
      </c>
      <c r="G10" s="10" t="s">
        <v>40</v>
      </c>
      <c r="H10" s="10" t="s">
        <v>253</v>
      </c>
      <c r="I10" s="10" t="s">
        <v>138</v>
      </c>
      <c r="J10" s="10" t="s">
        <v>430</v>
      </c>
      <c r="K10" s="10" t="s">
        <v>412</v>
      </c>
    </row>
    <row r="11" spans="1:11" ht="48" customHeight="1" x14ac:dyDescent="0.3">
      <c r="A11" s="9" t="s">
        <v>260</v>
      </c>
      <c r="B11" s="9" t="s">
        <v>431</v>
      </c>
      <c r="C11" s="9" t="s">
        <v>99</v>
      </c>
      <c r="D11" s="9" t="s">
        <v>259</v>
      </c>
      <c r="E11" s="9" t="s">
        <v>432</v>
      </c>
      <c r="F11" s="9" t="s">
        <v>327</v>
      </c>
      <c r="G11" s="9" t="s">
        <v>40</v>
      </c>
      <c r="H11" s="9" t="s">
        <v>261</v>
      </c>
      <c r="I11" s="9" t="s">
        <v>70</v>
      </c>
      <c r="J11" s="9" t="s">
        <v>433</v>
      </c>
      <c r="K11" s="9" t="s">
        <v>412</v>
      </c>
    </row>
    <row r="12" spans="1:11" ht="48" customHeight="1" x14ac:dyDescent="0.3">
      <c r="A12" s="10" t="s">
        <v>268</v>
      </c>
      <c r="B12" s="10" t="s">
        <v>434</v>
      </c>
      <c r="C12" s="10" t="s">
        <v>153</v>
      </c>
      <c r="D12" s="10" t="s">
        <v>267</v>
      </c>
      <c r="E12" s="10" t="s">
        <v>435</v>
      </c>
      <c r="F12" s="10" t="s">
        <v>327</v>
      </c>
      <c r="G12" s="10" t="s">
        <v>40</v>
      </c>
      <c r="H12" s="10" t="s">
        <v>269</v>
      </c>
      <c r="I12" s="10" t="s">
        <v>157</v>
      </c>
      <c r="J12" s="10" t="s">
        <v>436</v>
      </c>
      <c r="K12" s="10" t="s">
        <v>412</v>
      </c>
    </row>
    <row r="13" spans="1:11" ht="48" customHeight="1" x14ac:dyDescent="0.3">
      <c r="A13" s="9" t="s">
        <v>276</v>
      </c>
      <c r="B13" s="9" t="s">
        <v>437</v>
      </c>
      <c r="C13" s="9" t="s">
        <v>160</v>
      </c>
      <c r="D13" s="9" t="s">
        <v>275</v>
      </c>
      <c r="E13" s="9" t="s">
        <v>438</v>
      </c>
      <c r="F13" s="9" t="s">
        <v>327</v>
      </c>
      <c r="G13" s="9" t="s">
        <v>40</v>
      </c>
      <c r="H13" s="9" t="s">
        <v>277</v>
      </c>
      <c r="I13" s="9" t="s">
        <v>164</v>
      </c>
      <c r="J13" s="9" t="s">
        <v>439</v>
      </c>
      <c r="K13" s="9" t="s">
        <v>412</v>
      </c>
    </row>
    <row r="14" spans="1:11" ht="25" x14ac:dyDescent="0.3">
      <c r="A14" s="9" t="s">
        <v>440</v>
      </c>
      <c r="B14" s="9" t="s">
        <v>441</v>
      </c>
      <c r="C14" s="9" t="s">
        <v>112</v>
      </c>
      <c r="D14" s="9" t="s">
        <v>283</v>
      </c>
      <c r="E14" s="9" t="s">
        <v>442</v>
      </c>
      <c r="F14" s="9" t="s">
        <v>327</v>
      </c>
      <c r="G14" s="9" t="s">
        <v>41</v>
      </c>
      <c r="H14" s="9" t="s">
        <v>284</v>
      </c>
      <c r="I14" s="9" t="s">
        <v>443</v>
      </c>
      <c r="J14" s="9" t="s">
        <v>444</v>
      </c>
      <c r="K14" s="9" t="s">
        <v>412</v>
      </c>
    </row>
  </sheetData>
  <autoFilter ref="A4:K13" xr:uid="{00000000-0009-0000-0000-000005000000}"/>
  <mergeCells count="2">
    <mergeCell ref="A2:H2"/>
    <mergeCell ref="A1:H1"/>
  </mergeCells>
  <dataValidations count="1">
    <dataValidation type="list" allowBlank="1" errorTitle="Invalid entry" error="Choose a value from the list." sqref="K5:K14" xr:uid="{00000000-0002-0000-0500-000000000000}">
      <formula1>"Open,In progress,Closed,Accepted risk"</formula1>
    </dataValidation>
  </dataValidations>
  <pageMargins left="0.25" right="0.2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L16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4" customWidth="1"/>
    <col min="2" max="2" width="40" customWidth="1"/>
    <col min="3" max="3" width="20" customWidth="1"/>
    <col min="4" max="4" width="14" customWidth="1"/>
    <col min="5" max="5" width="58" customWidth="1"/>
    <col min="6" max="6" width="28" customWidth="1"/>
    <col min="7" max="7" width="16" customWidth="1"/>
    <col min="8" max="8" width="14" customWidth="1"/>
    <col min="9" max="9" width="18" customWidth="1"/>
    <col min="10" max="10" width="48" customWidth="1"/>
    <col min="11" max="11" width="16" customWidth="1"/>
    <col min="12" max="12" width="46" customWidth="1"/>
  </cols>
  <sheetData>
    <row r="1" spans="1:12" ht="30" customHeight="1" x14ac:dyDescent="0.3">
      <c r="A1" s="17" t="s">
        <v>445</v>
      </c>
      <c r="B1" s="16"/>
      <c r="C1" s="16"/>
      <c r="D1" s="16"/>
      <c r="E1" s="16"/>
      <c r="F1" s="16"/>
      <c r="G1" s="16"/>
      <c r="H1" s="16"/>
    </row>
    <row r="2" spans="1:12" ht="32" customHeight="1" x14ac:dyDescent="0.3">
      <c r="A2" s="15" t="s">
        <v>446</v>
      </c>
      <c r="B2" s="16"/>
      <c r="C2" s="16"/>
      <c r="D2" s="16"/>
      <c r="E2" s="16"/>
      <c r="F2" s="16"/>
      <c r="G2" s="16"/>
      <c r="H2" s="16"/>
    </row>
    <row r="4" spans="1:12" ht="38" customHeight="1" x14ac:dyDescent="0.3">
      <c r="A4" s="8" t="s">
        <v>202</v>
      </c>
      <c r="B4" s="8" t="s">
        <v>447</v>
      </c>
      <c r="C4" s="8" t="s">
        <v>448</v>
      </c>
      <c r="D4" s="8" t="s">
        <v>449</v>
      </c>
      <c r="E4" s="8" t="s">
        <v>450</v>
      </c>
      <c r="F4" s="8" t="s">
        <v>451</v>
      </c>
      <c r="G4" s="8" t="s">
        <v>452</v>
      </c>
      <c r="H4" s="8" t="s">
        <v>404</v>
      </c>
      <c r="I4" s="8" t="s">
        <v>453</v>
      </c>
      <c r="J4" s="8" t="s">
        <v>454</v>
      </c>
      <c r="K4" s="8" t="s">
        <v>407</v>
      </c>
      <c r="L4" s="8" t="s">
        <v>205</v>
      </c>
    </row>
    <row r="5" spans="1:12" ht="48" customHeight="1" x14ac:dyDescent="0.3">
      <c r="A5" s="9" t="s">
        <v>212</v>
      </c>
      <c r="B5" s="9" t="s">
        <v>455</v>
      </c>
      <c r="C5" s="9" t="s">
        <v>206</v>
      </c>
      <c r="D5" s="9" t="s">
        <v>211</v>
      </c>
      <c r="E5" s="9" t="s">
        <v>456</v>
      </c>
      <c r="F5" s="9" t="s">
        <v>457</v>
      </c>
      <c r="G5" s="13">
        <v>46341</v>
      </c>
      <c r="H5" s="9" t="s">
        <v>40</v>
      </c>
      <c r="I5" s="9" t="s">
        <v>458</v>
      </c>
      <c r="J5" s="9" t="s">
        <v>459</v>
      </c>
      <c r="K5" s="9" t="s">
        <v>460</v>
      </c>
      <c r="L5" s="9" t="s">
        <v>461</v>
      </c>
    </row>
    <row r="6" spans="1:12" ht="48" customHeight="1" x14ac:dyDescent="0.3">
      <c r="A6" s="10" t="s">
        <v>221</v>
      </c>
      <c r="B6" s="10" t="s">
        <v>462</v>
      </c>
      <c r="C6" s="10" t="s">
        <v>215</v>
      </c>
      <c r="D6" s="10" t="s">
        <v>220</v>
      </c>
      <c r="E6" s="10" t="s">
        <v>463</v>
      </c>
      <c r="F6" s="10" t="s">
        <v>70</v>
      </c>
      <c r="G6" s="14">
        <v>46336</v>
      </c>
      <c r="H6" s="10" t="s">
        <v>40</v>
      </c>
      <c r="I6" s="10" t="s">
        <v>458</v>
      </c>
      <c r="J6" s="10" t="s">
        <v>464</v>
      </c>
      <c r="K6" s="10" t="s">
        <v>460</v>
      </c>
      <c r="L6" s="10"/>
    </row>
    <row r="7" spans="1:12" ht="48" customHeight="1" x14ac:dyDescent="0.3">
      <c r="A7" s="9" t="s">
        <v>229</v>
      </c>
      <c r="B7" s="9" t="s">
        <v>465</v>
      </c>
      <c r="C7" s="9" t="s">
        <v>223</v>
      </c>
      <c r="D7" s="9" t="s">
        <v>228</v>
      </c>
      <c r="E7" s="9" t="s">
        <v>466</v>
      </c>
      <c r="F7" s="9" t="s">
        <v>77</v>
      </c>
      <c r="G7" s="13">
        <v>46346</v>
      </c>
      <c r="H7" s="9" t="s">
        <v>40</v>
      </c>
      <c r="I7" s="9" t="s">
        <v>458</v>
      </c>
      <c r="J7" s="9" t="s">
        <v>467</v>
      </c>
      <c r="K7" s="9" t="s">
        <v>460</v>
      </c>
      <c r="L7" s="9"/>
    </row>
    <row r="8" spans="1:12" ht="48" customHeight="1" x14ac:dyDescent="0.3">
      <c r="A8" s="10" t="s">
        <v>237</v>
      </c>
      <c r="B8" s="10" t="s">
        <v>468</v>
      </c>
      <c r="C8" s="10" t="s">
        <v>469</v>
      </c>
      <c r="D8" s="10" t="s">
        <v>236</v>
      </c>
      <c r="E8" s="10" t="s">
        <v>470</v>
      </c>
      <c r="F8" s="10" t="s">
        <v>70</v>
      </c>
      <c r="G8" s="14">
        <v>46344</v>
      </c>
      <c r="H8" s="10" t="s">
        <v>40</v>
      </c>
      <c r="I8" s="10" t="s">
        <v>458</v>
      </c>
      <c r="J8" s="10" t="s">
        <v>471</v>
      </c>
      <c r="K8" s="10" t="s">
        <v>460</v>
      </c>
      <c r="L8" s="10"/>
    </row>
    <row r="9" spans="1:12" ht="48" customHeight="1" x14ac:dyDescent="0.3">
      <c r="A9" s="9" t="s">
        <v>245</v>
      </c>
      <c r="B9" s="9" t="s">
        <v>472</v>
      </c>
      <c r="C9" s="9" t="s">
        <v>239</v>
      </c>
      <c r="D9" s="9" t="s">
        <v>244</v>
      </c>
      <c r="E9" s="9" t="s">
        <v>473</v>
      </c>
      <c r="F9" s="9" t="s">
        <v>70</v>
      </c>
      <c r="G9" s="13">
        <v>46338</v>
      </c>
      <c r="H9" s="9" t="s">
        <v>40</v>
      </c>
      <c r="I9" s="9" t="s">
        <v>458</v>
      </c>
      <c r="J9" s="9" t="s">
        <v>474</v>
      </c>
      <c r="K9" s="9" t="s">
        <v>460</v>
      </c>
      <c r="L9" s="9"/>
    </row>
    <row r="10" spans="1:12" ht="48" customHeight="1" x14ac:dyDescent="0.3">
      <c r="A10" s="10" t="s">
        <v>253</v>
      </c>
      <c r="B10" s="10" t="s">
        <v>475</v>
      </c>
      <c r="C10" s="10" t="s">
        <v>476</v>
      </c>
      <c r="D10" s="10" t="s">
        <v>252</v>
      </c>
      <c r="E10" s="10" t="s">
        <v>477</v>
      </c>
      <c r="F10" s="10" t="s">
        <v>138</v>
      </c>
      <c r="G10" s="14">
        <v>46351</v>
      </c>
      <c r="H10" s="10" t="s">
        <v>40</v>
      </c>
      <c r="I10" s="10" t="s">
        <v>458</v>
      </c>
      <c r="J10" s="10" t="s">
        <v>478</v>
      </c>
      <c r="K10" s="10" t="s">
        <v>460</v>
      </c>
      <c r="L10" s="10"/>
    </row>
    <row r="11" spans="1:12" ht="48" customHeight="1" x14ac:dyDescent="0.3">
      <c r="A11" s="9" t="s">
        <v>261</v>
      </c>
      <c r="B11" s="9" t="s">
        <v>479</v>
      </c>
      <c r="C11" s="9" t="s">
        <v>255</v>
      </c>
      <c r="D11" s="9" t="s">
        <v>260</v>
      </c>
      <c r="E11" s="9" t="s">
        <v>480</v>
      </c>
      <c r="F11" s="9" t="s">
        <v>70</v>
      </c>
      <c r="G11" s="13">
        <v>46348</v>
      </c>
      <c r="H11" s="9" t="s">
        <v>40</v>
      </c>
      <c r="I11" s="9" t="s">
        <v>458</v>
      </c>
      <c r="J11" s="9" t="s">
        <v>481</v>
      </c>
      <c r="K11" s="9" t="s">
        <v>460</v>
      </c>
      <c r="L11" s="9"/>
    </row>
    <row r="12" spans="1:12" ht="48" customHeight="1" x14ac:dyDescent="0.3">
      <c r="A12" s="10" t="s">
        <v>269</v>
      </c>
      <c r="B12" s="10" t="s">
        <v>482</v>
      </c>
      <c r="C12" s="10" t="s">
        <v>263</v>
      </c>
      <c r="D12" s="10" t="s">
        <v>268</v>
      </c>
      <c r="E12" s="10" t="s">
        <v>483</v>
      </c>
      <c r="F12" s="10" t="s">
        <v>157</v>
      </c>
      <c r="G12" s="14">
        <v>46345</v>
      </c>
      <c r="H12" s="10" t="s">
        <v>40</v>
      </c>
      <c r="I12" s="10" t="s">
        <v>458</v>
      </c>
      <c r="J12" s="10" t="s">
        <v>484</v>
      </c>
      <c r="K12" s="10" t="s">
        <v>460</v>
      </c>
      <c r="L12" s="10"/>
    </row>
    <row r="13" spans="1:12" ht="48" customHeight="1" x14ac:dyDescent="0.3">
      <c r="A13" s="9" t="s">
        <v>277</v>
      </c>
      <c r="B13" s="9" t="s">
        <v>485</v>
      </c>
      <c r="C13" s="9" t="s">
        <v>271</v>
      </c>
      <c r="D13" s="9" t="s">
        <v>276</v>
      </c>
      <c r="E13" s="9" t="s">
        <v>486</v>
      </c>
      <c r="F13" s="9" t="s">
        <v>164</v>
      </c>
      <c r="G13" s="13">
        <v>46356</v>
      </c>
      <c r="H13" s="9" t="s">
        <v>40</v>
      </c>
      <c r="I13" s="9" t="s">
        <v>458</v>
      </c>
      <c r="J13" s="9" t="s">
        <v>487</v>
      </c>
      <c r="K13" s="9" t="s">
        <v>460</v>
      </c>
      <c r="L13" s="9"/>
    </row>
    <row r="14" spans="1:12" ht="48" customHeight="1" x14ac:dyDescent="0.3">
      <c r="A14" s="10" t="s">
        <v>284</v>
      </c>
      <c r="B14" s="10" t="s">
        <v>488</v>
      </c>
      <c r="C14" s="10" t="s">
        <v>279</v>
      </c>
      <c r="D14" s="10" t="s">
        <v>440</v>
      </c>
      <c r="E14" s="10" t="s">
        <v>489</v>
      </c>
      <c r="F14" s="10" t="s">
        <v>443</v>
      </c>
      <c r="G14" s="14">
        <v>46354</v>
      </c>
      <c r="H14" s="10" t="s">
        <v>41</v>
      </c>
      <c r="I14" s="10" t="s">
        <v>458</v>
      </c>
      <c r="J14" s="10" t="s">
        <v>490</v>
      </c>
      <c r="K14" s="10" t="s">
        <v>460</v>
      </c>
      <c r="L14" s="10" t="s">
        <v>491</v>
      </c>
    </row>
    <row r="15" spans="1:12" ht="48" customHeight="1" x14ac:dyDescent="0.3">
      <c r="A15" s="9" t="s">
        <v>292</v>
      </c>
      <c r="B15" s="9" t="s">
        <v>492</v>
      </c>
      <c r="C15" s="9" t="s">
        <v>287</v>
      </c>
      <c r="D15" s="9" t="s">
        <v>236</v>
      </c>
      <c r="E15" s="9" t="s">
        <v>493</v>
      </c>
      <c r="F15" s="9" t="s">
        <v>70</v>
      </c>
      <c r="G15" s="13">
        <v>46344</v>
      </c>
      <c r="H15" s="9" t="s">
        <v>40</v>
      </c>
      <c r="I15" s="9" t="s">
        <v>458</v>
      </c>
      <c r="J15" s="9" t="s">
        <v>494</v>
      </c>
      <c r="K15" s="9" t="s">
        <v>460</v>
      </c>
      <c r="L15" s="9" t="s">
        <v>495</v>
      </c>
    </row>
    <row r="16" spans="1:12" ht="48" customHeight="1" x14ac:dyDescent="0.3">
      <c r="A16" s="10" t="s">
        <v>299</v>
      </c>
      <c r="B16" s="10" t="s">
        <v>496</v>
      </c>
      <c r="C16" s="10" t="s">
        <v>294</v>
      </c>
      <c r="D16" s="10" t="s">
        <v>252</v>
      </c>
      <c r="E16" s="10" t="s">
        <v>497</v>
      </c>
      <c r="F16" s="10" t="s">
        <v>138</v>
      </c>
      <c r="G16" s="14">
        <v>46351</v>
      </c>
      <c r="H16" s="10" t="s">
        <v>40</v>
      </c>
      <c r="I16" s="10" t="s">
        <v>458</v>
      </c>
      <c r="J16" s="10" t="s">
        <v>498</v>
      </c>
      <c r="K16" s="10" t="s">
        <v>460</v>
      </c>
      <c r="L16" s="10" t="s">
        <v>499</v>
      </c>
    </row>
  </sheetData>
  <autoFilter ref="A4:L16" xr:uid="{00000000-0009-0000-0000-000006000000}"/>
  <mergeCells count="2">
    <mergeCell ref="A2:H2"/>
    <mergeCell ref="A1:H1"/>
  </mergeCells>
  <dataValidations count="1">
    <dataValidation type="list" allowBlank="1" errorTitle="Invalid entry" error="Choose a value from the list." sqref="K5:K16" xr:uid="{00000000-0002-0000-0600-000000000000}">
      <formula1>"Not started,In progress,Blocked,Complete"</formula1>
    </dataValidation>
  </dataValidations>
  <pageMargins left="0.25" right="0.2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  <pageSetUpPr fitToPage="1"/>
  </sheetPr>
  <dimension ref="A1:J15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3"/>
  <cols>
    <col min="1" max="1" width="13" customWidth="1"/>
    <col min="2" max="2" width="34" customWidth="1"/>
    <col min="3" max="3" width="20" customWidth="1"/>
    <col min="4" max="4" width="42" customWidth="1"/>
    <col min="5" max="5" width="56" customWidth="1"/>
    <col min="6" max="6" width="24" customWidth="1"/>
    <col min="7" max="7" width="16" customWidth="1"/>
    <col min="8" max="8" width="30" customWidth="1"/>
    <col min="9" max="9" width="20" customWidth="1"/>
    <col min="10" max="10" width="42" customWidth="1"/>
  </cols>
  <sheetData>
    <row r="1" spans="1:10" ht="30" customHeight="1" x14ac:dyDescent="0.3">
      <c r="A1" s="17" t="s">
        <v>500</v>
      </c>
      <c r="B1" s="16"/>
      <c r="C1" s="16"/>
      <c r="D1" s="16"/>
      <c r="E1" s="16"/>
      <c r="F1" s="16"/>
      <c r="G1" s="16"/>
      <c r="H1" s="16"/>
    </row>
    <row r="2" spans="1:10" ht="32" customHeight="1" x14ac:dyDescent="0.3">
      <c r="A2" s="15" t="s">
        <v>501</v>
      </c>
      <c r="B2" s="16"/>
      <c r="C2" s="16"/>
      <c r="D2" s="16"/>
      <c r="E2" s="16"/>
      <c r="F2" s="16"/>
      <c r="G2" s="16"/>
      <c r="H2" s="16"/>
    </row>
    <row r="4" spans="1:10" ht="38" customHeight="1" x14ac:dyDescent="0.3">
      <c r="A4" s="8" t="s">
        <v>502</v>
      </c>
      <c r="B4" s="8" t="s">
        <v>503</v>
      </c>
      <c r="C4" s="8" t="s">
        <v>504</v>
      </c>
      <c r="D4" s="8" t="s">
        <v>505</v>
      </c>
      <c r="E4" s="8" t="s">
        <v>506</v>
      </c>
      <c r="F4" s="8" t="s">
        <v>507</v>
      </c>
      <c r="G4" s="8" t="s">
        <v>407</v>
      </c>
      <c r="H4" s="8" t="s">
        <v>508</v>
      </c>
      <c r="I4" s="8" t="s">
        <v>509</v>
      </c>
      <c r="J4" s="8" t="s">
        <v>205</v>
      </c>
    </row>
    <row r="5" spans="1:10" ht="48" customHeight="1" x14ac:dyDescent="0.3">
      <c r="A5" s="9" t="s">
        <v>510</v>
      </c>
      <c r="B5" s="9" t="s">
        <v>511</v>
      </c>
      <c r="C5" s="9" t="s">
        <v>313</v>
      </c>
      <c r="D5" s="9" t="s">
        <v>512</v>
      </c>
      <c r="E5" s="9" t="s">
        <v>513</v>
      </c>
      <c r="F5" s="9" t="s">
        <v>85</v>
      </c>
      <c r="G5" s="9" t="s">
        <v>514</v>
      </c>
      <c r="H5" s="9" t="s">
        <v>515</v>
      </c>
      <c r="I5" s="9" t="s">
        <v>212</v>
      </c>
      <c r="J5" s="9" t="s">
        <v>516</v>
      </c>
    </row>
    <row r="6" spans="1:10" ht="48" customHeight="1" x14ac:dyDescent="0.3">
      <c r="A6" s="10" t="s">
        <v>517</v>
      </c>
      <c r="B6" s="10" t="s">
        <v>518</v>
      </c>
      <c r="C6" s="10" t="s">
        <v>321</v>
      </c>
      <c r="D6" s="10" t="s">
        <v>512</v>
      </c>
      <c r="E6" s="10" t="s">
        <v>519</v>
      </c>
      <c r="F6" s="10" t="s">
        <v>70</v>
      </c>
      <c r="G6" s="10" t="s">
        <v>514</v>
      </c>
      <c r="H6" s="10" t="s">
        <v>515</v>
      </c>
      <c r="I6" s="10" t="s">
        <v>212</v>
      </c>
      <c r="J6" s="10"/>
    </row>
    <row r="7" spans="1:10" ht="48" customHeight="1" x14ac:dyDescent="0.3">
      <c r="A7" s="9" t="s">
        <v>520</v>
      </c>
      <c r="B7" s="9" t="s">
        <v>521</v>
      </c>
      <c r="C7" s="9" t="s">
        <v>219</v>
      </c>
      <c r="D7" s="9" t="s">
        <v>522</v>
      </c>
      <c r="E7" s="9" t="s">
        <v>523</v>
      </c>
      <c r="F7" s="9" t="s">
        <v>71</v>
      </c>
      <c r="G7" s="9" t="s">
        <v>514</v>
      </c>
      <c r="H7" s="9" t="s">
        <v>515</v>
      </c>
      <c r="I7" s="9" t="s">
        <v>221</v>
      </c>
      <c r="J7" s="9"/>
    </row>
    <row r="8" spans="1:10" ht="48" customHeight="1" x14ac:dyDescent="0.3">
      <c r="A8" s="10" t="s">
        <v>524</v>
      </c>
      <c r="B8" s="10" t="s">
        <v>525</v>
      </c>
      <c r="C8" s="10" t="s">
        <v>227</v>
      </c>
      <c r="D8" s="10" t="s">
        <v>526</v>
      </c>
      <c r="E8" s="10" t="s">
        <v>527</v>
      </c>
      <c r="F8" s="10" t="s">
        <v>528</v>
      </c>
      <c r="G8" s="10" t="s">
        <v>514</v>
      </c>
      <c r="H8" s="10" t="s">
        <v>515</v>
      </c>
      <c r="I8" s="10" t="s">
        <v>229</v>
      </c>
      <c r="J8" s="10"/>
    </row>
    <row r="9" spans="1:10" ht="48" customHeight="1" x14ac:dyDescent="0.3">
      <c r="A9" s="9" t="s">
        <v>529</v>
      </c>
      <c r="B9" s="9" t="s">
        <v>530</v>
      </c>
      <c r="C9" s="9" t="s">
        <v>235</v>
      </c>
      <c r="D9" s="9" t="s">
        <v>531</v>
      </c>
      <c r="E9" s="9" t="s">
        <v>532</v>
      </c>
      <c r="F9" s="9" t="s">
        <v>70</v>
      </c>
      <c r="G9" s="9" t="s">
        <v>514</v>
      </c>
      <c r="H9" s="9" t="s">
        <v>515</v>
      </c>
      <c r="I9" s="9" t="s">
        <v>533</v>
      </c>
      <c r="J9" s="9"/>
    </row>
    <row r="10" spans="1:10" ht="48" customHeight="1" x14ac:dyDescent="0.3">
      <c r="A10" s="10" t="s">
        <v>534</v>
      </c>
      <c r="B10" s="10" t="s">
        <v>535</v>
      </c>
      <c r="C10" s="10" t="s">
        <v>243</v>
      </c>
      <c r="D10" s="10" t="s">
        <v>536</v>
      </c>
      <c r="E10" s="10" t="s">
        <v>537</v>
      </c>
      <c r="F10" s="10" t="s">
        <v>91</v>
      </c>
      <c r="G10" s="10" t="s">
        <v>514</v>
      </c>
      <c r="H10" s="10" t="s">
        <v>515</v>
      </c>
      <c r="I10" s="10" t="s">
        <v>245</v>
      </c>
      <c r="J10" s="10"/>
    </row>
    <row r="11" spans="1:10" ht="48" customHeight="1" x14ac:dyDescent="0.3">
      <c r="A11" s="9" t="s">
        <v>538</v>
      </c>
      <c r="B11" s="9" t="s">
        <v>539</v>
      </c>
      <c r="C11" s="9" t="s">
        <v>428</v>
      </c>
      <c r="D11" s="9" t="s">
        <v>540</v>
      </c>
      <c r="E11" s="9" t="s">
        <v>541</v>
      </c>
      <c r="F11" s="9" t="s">
        <v>542</v>
      </c>
      <c r="G11" s="9" t="s">
        <v>514</v>
      </c>
      <c r="H11" s="9" t="s">
        <v>515</v>
      </c>
      <c r="I11" s="9" t="s">
        <v>543</v>
      </c>
      <c r="J11" s="9"/>
    </row>
    <row r="12" spans="1:10" ht="48" customHeight="1" x14ac:dyDescent="0.3">
      <c r="A12" s="10" t="s">
        <v>544</v>
      </c>
      <c r="B12" s="10" t="s">
        <v>545</v>
      </c>
      <c r="C12" s="10" t="s">
        <v>546</v>
      </c>
      <c r="D12" s="10" t="s">
        <v>547</v>
      </c>
      <c r="E12" s="10" t="s">
        <v>548</v>
      </c>
      <c r="F12" s="10" t="s">
        <v>549</v>
      </c>
      <c r="G12" s="10" t="s">
        <v>514</v>
      </c>
      <c r="H12" s="10" t="s">
        <v>515</v>
      </c>
      <c r="I12" s="10" t="s">
        <v>261</v>
      </c>
      <c r="J12" s="10"/>
    </row>
    <row r="13" spans="1:10" ht="48" customHeight="1" x14ac:dyDescent="0.3">
      <c r="A13" s="9" t="s">
        <v>550</v>
      </c>
      <c r="B13" s="9" t="s">
        <v>382</v>
      </c>
      <c r="C13" s="9" t="s">
        <v>551</v>
      </c>
      <c r="D13" s="9" t="s">
        <v>552</v>
      </c>
      <c r="E13" s="9" t="s">
        <v>553</v>
      </c>
      <c r="F13" s="9" t="s">
        <v>554</v>
      </c>
      <c r="G13" s="9" t="s">
        <v>514</v>
      </c>
      <c r="H13" s="9" t="s">
        <v>515</v>
      </c>
      <c r="I13" s="9" t="s">
        <v>269</v>
      </c>
      <c r="J13" s="9"/>
    </row>
    <row r="14" spans="1:10" ht="48" customHeight="1" x14ac:dyDescent="0.3">
      <c r="A14" s="10" t="s">
        <v>555</v>
      </c>
      <c r="B14" s="10" t="s">
        <v>556</v>
      </c>
      <c r="C14" s="10" t="s">
        <v>275</v>
      </c>
      <c r="D14" s="10" t="s">
        <v>557</v>
      </c>
      <c r="E14" s="10" t="s">
        <v>558</v>
      </c>
      <c r="F14" s="10" t="s">
        <v>164</v>
      </c>
      <c r="G14" s="10" t="s">
        <v>514</v>
      </c>
      <c r="H14" s="10" t="s">
        <v>515</v>
      </c>
      <c r="I14" s="10" t="s">
        <v>277</v>
      </c>
      <c r="J14" s="10"/>
    </row>
    <row r="15" spans="1:10" ht="48" customHeight="1" x14ac:dyDescent="0.3">
      <c r="A15" s="9" t="s">
        <v>559</v>
      </c>
      <c r="B15" s="9" t="s">
        <v>560</v>
      </c>
      <c r="C15" s="9" t="s">
        <v>283</v>
      </c>
      <c r="D15" s="9" t="s">
        <v>561</v>
      </c>
      <c r="E15" s="9" t="s">
        <v>562</v>
      </c>
      <c r="F15" s="9" t="s">
        <v>118</v>
      </c>
      <c r="G15" s="9" t="s">
        <v>514</v>
      </c>
      <c r="H15" s="9" t="s">
        <v>515</v>
      </c>
      <c r="I15" s="9" t="s">
        <v>284</v>
      </c>
      <c r="J15" s="9"/>
    </row>
  </sheetData>
  <autoFilter ref="A4:J15" xr:uid="{00000000-0009-0000-0000-000007000000}"/>
  <mergeCells count="2">
    <mergeCell ref="A2:H2"/>
    <mergeCell ref="A1:H1"/>
  </mergeCells>
  <dataValidations count="1">
    <dataValidation type="list" allowBlank="1" errorTitle="Invalid entry" error="Choose a value from the list." sqref="G5:G15" xr:uid="{00000000-0002-0000-0700-000000000000}">
      <formula1>"Pending,Received,Under review,Accepted,Rejected"</formula1>
    </dataValidation>
  </dataValidation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Start Here</vt:lpstr>
      <vt:lpstr>Executive Dashboard</vt:lpstr>
      <vt:lpstr>Asset Inventory</vt:lpstr>
      <vt:lpstr>Risk Register</vt:lpstr>
      <vt:lpstr>Controls</vt:lpstr>
      <vt:lpstr>Gap Assessment</vt:lpstr>
      <vt:lpstr>Risk Treatment Plan</vt:lpstr>
      <vt:lpstr>Evidence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حلا سعود سالم الشمري</cp:lastModifiedBy>
  <dcterms:created xsi:type="dcterms:W3CDTF">2026-10-16T00:55:16Z</dcterms:created>
  <dcterms:modified xsi:type="dcterms:W3CDTF">2026-10-18T01:08:42Z</dcterms:modified>
</cp:coreProperties>
</file>